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Excel\Excel_Project_Work\Project 2\"/>
    </mc:Choice>
  </mc:AlternateContent>
  <xr:revisionPtr revIDLastSave="0" documentId="13_ncr:1_{345891A9-AB4E-420B-83C8-35D1049473FC}" xr6:coauthVersionLast="47" xr6:coauthVersionMax="47" xr10:uidLastSave="{00000000-0000-0000-0000-000000000000}"/>
  <bookViews>
    <workbookView xWindow="-108" yWindow="-108" windowWidth="23256" windowHeight="12456" xr2:uid="{7A03000F-CE6F-434D-94EB-643CC0F60A3A}"/>
  </bookViews>
  <sheets>
    <sheet name="Dashboard" sheetId="9" r:id="rId1"/>
    <sheet name="data" sheetId="1" r:id="rId2"/>
    <sheet name="Top 10" sheetId="2" r:id="rId3"/>
    <sheet name="What-If" sheetId="8" r:id="rId4"/>
    <sheet name="Regression &amp; Statistics" sheetId="3" r:id="rId5"/>
    <sheet name="Monthy Sales" sheetId="6" r:id="rId6"/>
    <sheet name="Total Sales" sheetId="7" r:id="rId7"/>
  </sheets>
  <definedNames>
    <definedName name="_xlnm._FilterDatabase" localSheetId="1" hidden="1">data!$A$1:$A$201</definedName>
    <definedName name="_xlnm._FilterDatabase" localSheetId="2" hidden="1">'Top 10'!$A$2:$G$32</definedName>
    <definedName name="NativeTimeline_Order_Date">#N/A</definedName>
    <definedName name="Slicer_Months__Order_Date">#N/A</definedName>
    <definedName name="Slicer_Product_Category">#N/A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C17" i="6"/>
  <c r="F5" i="8"/>
  <c r="F6" i="8"/>
  <c r="F7" i="8"/>
  <c r="F8" i="8"/>
  <c r="F9" i="8"/>
  <c r="F10" i="8"/>
  <c r="F4" i="8"/>
  <c r="E5" i="8"/>
  <c r="E6" i="8"/>
  <c r="E7" i="8"/>
  <c r="E8" i="8"/>
  <c r="E9" i="8"/>
  <c r="E10" i="8"/>
  <c r="E4" i="8"/>
  <c r="B10" i="8"/>
  <c r="B11" i="8"/>
  <c r="B4" i="8"/>
  <c r="B6" i="8"/>
  <c r="B5" i="8"/>
  <c r="C16" i="6"/>
  <c r="C15" i="6"/>
  <c r="C14" i="6"/>
  <c r="C12" i="6"/>
  <c r="C11" i="6"/>
  <c r="C10" i="6"/>
  <c r="C9" i="6"/>
  <c r="C8" i="6"/>
  <c r="C7" i="6"/>
  <c r="C6" i="6"/>
  <c r="C5" i="6"/>
  <c r="K3" i="2" l="1"/>
  <c r="K4" i="2"/>
  <c r="K5" i="2"/>
  <c r="K6" i="2"/>
  <c r="K7" i="2"/>
  <c r="K8" i="2"/>
  <c r="K9" i="2"/>
  <c r="K10" i="2"/>
  <c r="K11" i="2"/>
  <c r="K12" i="2"/>
  <c r="K13" i="2"/>
  <c r="K14" i="2"/>
  <c r="K15" i="2"/>
  <c r="K16" i="2"/>
  <c r="K17" i="2"/>
  <c r="K18" i="2"/>
  <c r="K19" i="2"/>
  <c r="K20" i="2"/>
  <c r="K21" i="2"/>
  <c r="K22" i="2"/>
  <c r="K23" i="2"/>
  <c r="K24" i="2"/>
  <c r="K25" i="2"/>
  <c r="K26" i="2"/>
  <c r="K27" i="2"/>
  <c r="K28" i="2"/>
  <c r="K29" i="2"/>
  <c r="J3" i="2"/>
  <c r="J4" i="2"/>
  <c r="J5" i="2"/>
  <c r="J6" i="2"/>
  <c r="J7" i="2"/>
  <c r="J8" i="2"/>
  <c r="J9" i="2"/>
  <c r="J10" i="2"/>
  <c r="J11" i="2"/>
  <c r="J12" i="2"/>
  <c r="J13" i="2"/>
  <c r="J14" i="2"/>
  <c r="J15" i="2"/>
  <c r="J16" i="2"/>
  <c r="J17" i="2"/>
  <c r="J18" i="2"/>
  <c r="J19" i="2"/>
  <c r="J20" i="2"/>
  <c r="J21" i="2"/>
  <c r="J22" i="2"/>
  <c r="J23" i="2"/>
  <c r="J24" i="2"/>
  <c r="J25" i="2"/>
  <c r="J26" i="2"/>
  <c r="J27" i="2"/>
  <c r="J28" i="2"/>
  <c r="J29" i="2"/>
  <c r="I3" i="2"/>
  <c r="I4" i="2"/>
  <c r="I5" i="2"/>
  <c r="I6" i="2"/>
  <c r="I7" i="2"/>
  <c r="I8" i="2"/>
  <c r="I9" i="2"/>
  <c r="I10" i="2"/>
  <c r="I11" i="2"/>
  <c r="I12" i="2"/>
  <c r="I13" i="2"/>
  <c r="I14" i="2"/>
  <c r="I15" i="2"/>
  <c r="I16" i="2"/>
  <c r="I17" i="2"/>
  <c r="I18" i="2"/>
  <c r="I19" i="2"/>
  <c r="I20" i="2"/>
  <c r="I21" i="2"/>
  <c r="I22" i="2"/>
  <c r="I23" i="2"/>
  <c r="I24" i="2"/>
  <c r="I25" i="2"/>
  <c r="I26" i="2"/>
  <c r="I27" i="2"/>
  <c r="I28" i="2"/>
  <c r="I29" i="2"/>
  <c r="H4" i="2"/>
  <c r="H5" i="2"/>
  <c r="H6" i="2"/>
  <c r="H7" i="2"/>
  <c r="H8" i="2"/>
  <c r="H9" i="2"/>
  <c r="H10" i="2"/>
  <c r="H11" i="2"/>
  <c r="H12" i="2"/>
  <c r="H13" i="2"/>
  <c r="H14" i="2"/>
  <c r="H15" i="2"/>
  <c r="H16" i="2"/>
  <c r="H17" i="2"/>
  <c r="H18" i="2"/>
  <c r="H19" i="2"/>
  <c r="H20" i="2"/>
  <c r="H21" i="2"/>
  <c r="H22" i="2"/>
  <c r="H23" i="2"/>
  <c r="H24" i="2"/>
  <c r="H25" i="2"/>
  <c r="H26" i="2"/>
  <c r="H27" i="2"/>
  <c r="H28" i="2"/>
  <c r="H29" i="2"/>
  <c r="G4" i="2"/>
  <c r="G5" i="2"/>
  <c r="G6" i="2"/>
  <c r="G7" i="2"/>
  <c r="G8" i="2"/>
  <c r="G9" i="2"/>
  <c r="G10" i="2"/>
  <c r="G11" i="2"/>
  <c r="G12" i="2"/>
  <c r="G13" i="2"/>
  <c r="G14" i="2"/>
  <c r="G15" i="2"/>
  <c r="G16" i="2"/>
  <c r="G17" i="2"/>
  <c r="G18" i="2"/>
  <c r="G19" i="2"/>
  <c r="G20" i="2"/>
  <c r="G21" i="2"/>
  <c r="G22" i="2"/>
  <c r="G23" i="2"/>
  <c r="G24" i="2"/>
  <c r="G25" i="2"/>
  <c r="G26" i="2"/>
  <c r="G27" i="2"/>
  <c r="G28" i="2"/>
  <c r="G29" i="2"/>
  <c r="G3" i="2"/>
  <c r="H3" i="2"/>
  <c r="L25" i="2" l="1"/>
  <c r="L28" i="2"/>
  <c r="L20" i="2"/>
  <c r="L12" i="2"/>
  <c r="L4" i="2"/>
  <c r="L19" i="2"/>
  <c r="L3" i="2"/>
  <c r="L27" i="2"/>
  <c r="L11" i="2"/>
  <c r="L26" i="2"/>
  <c r="L18" i="2"/>
  <c r="L10" i="2"/>
  <c r="L17" i="2"/>
  <c r="L9" i="2"/>
  <c r="L8" i="2"/>
  <c r="L24" i="2"/>
  <c r="L16" i="2"/>
  <c r="L23" i="2"/>
  <c r="L15" i="2"/>
  <c r="L7" i="2"/>
  <c r="L6" i="2"/>
  <c r="L22" i="2"/>
  <c r="L14" i="2"/>
  <c r="L29" i="2"/>
  <c r="L21" i="2"/>
  <c r="L13" i="2"/>
  <c r="L5" i="2"/>
</calcChain>
</file>

<file path=xl/sharedStrings.xml><?xml version="1.0" encoding="utf-8"?>
<sst xmlns="http://schemas.openxmlformats.org/spreadsheetml/2006/main" count="985" uniqueCount="167">
  <si>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</si>
  <si>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</si>
  <si>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</si>
  <si>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</si>
  <si>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</si>
  <si>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</si>
  <si>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</si>
  <si>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</si>
  <si>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</si>
  <si>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</si>
  <si>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</si>
  <si>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</si>
  <si>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</si>
  <si>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</si>
  <si>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</si>
  <si>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</si>
  <si>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</si>
  <si>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</si>
  <si>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</si>
  <si>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</si>
  <si>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</si>
  <si>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</si>
  <si>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</si>
  <si>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</si>
  <si>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</si>
  <si>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</si>
  <si>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</si>
  <si>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</si>
  <si>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</si>
  <si>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</si>
  <si>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</si>
  <si>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</si>
  <si>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</si>
  <si>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</si>
  <si>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</si>
  <si>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</si>
  <si>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</si>
  <si>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</si>
  <si>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</si>
  <si>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</si>
  <si>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</si>
  <si>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</si>
  <si>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</si>
  <si>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</si>
  <si>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</si>
  <si>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</si>
  <si>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</si>
  <si>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</si>
  <si>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</si>
  <si>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</si>
  <si>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</si>
  <si>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</si>
  <si>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</si>
  <si>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</si>
  <si>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</si>
  <si>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</si>
  <si>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</si>
  <si>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</si>
  <si>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</si>
  <si>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</si>
  <si>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</si>
  <si>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</si>
  <si>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</si>
  <si>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</si>
  <si>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</si>
  <si>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</si>
  <si>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</si>
  <si>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</si>
  <si>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</si>
  <si>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</si>
  <si>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</si>
  <si>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</si>
  <si>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</si>
  <si>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</si>
  <si>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</si>
  <si>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</si>
  <si>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customer ID</t>
  </si>
  <si>
    <t>Customer Name</t>
  </si>
  <si>
    <t>Order Count</t>
  </si>
  <si>
    <t>Total Quanitiy</t>
  </si>
  <si>
    <t>Total Sales</t>
  </si>
  <si>
    <t>Total Profit</t>
  </si>
  <si>
    <t>Avg Discount</t>
  </si>
  <si>
    <t>Regression Statistics</t>
  </si>
  <si>
    <t>Multiple R</t>
  </si>
  <si>
    <t>R Square</t>
  </si>
  <si>
    <t>Adjusted R Square</t>
  </si>
  <si>
    <t>Standard Error</t>
  </si>
  <si>
    <t>Observations</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</si>
  <si>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</si>
  <si>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</si>
  <si>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</si>
  <si>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</si>
  <si>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</si>
  <si>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</si>
  <si>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</si>
  <si>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</si>
  <si>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</si>
  <si>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</si>
  <si>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</si>
  <si>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</si>
  <si>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</si>
  <si>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</si>
  <si>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</si>
  <si>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</si>
  <si>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</si>
  <si>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</si>
  <si>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</si>
  <si>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</si>
  <si>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</si>
  <si>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</si>
  <si>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</si>
  <si>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</si>
  <si>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</si>
  <si>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</si>
  <si>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</si>
  <si>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</si>
  <si>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Statistics</t>
  </si>
  <si>
    <t>-</t>
  </si>
  <si>
    <t>Row Labels</t>
  </si>
  <si>
    <t>Grand Total</t>
  </si>
  <si>
    <t>Sum of Sales</t>
  </si>
  <si>
    <t>2024</t>
  </si>
  <si>
    <t>2025</t>
  </si>
  <si>
    <t>Jan</t>
  </si>
  <si>
    <t>Feb</t>
  </si>
  <si>
    <t>Mar</t>
  </si>
  <si>
    <t>Apr</t>
  </si>
  <si>
    <t>May</t>
  </si>
  <si>
    <t>Jun</t>
  </si>
  <si>
    <t>Jul</t>
  </si>
  <si>
    <t>Aug</t>
  </si>
  <si>
    <t>Sep</t>
  </si>
  <si>
    <t>Oct</t>
  </si>
  <si>
    <t>Nov</t>
  </si>
  <si>
    <t>Dec</t>
  </si>
  <si>
    <t>Sales Growth</t>
  </si>
  <si>
    <t>NA</t>
  </si>
  <si>
    <t>Line Chart</t>
  </si>
  <si>
    <t>Sum of Quantity</t>
  </si>
  <si>
    <t>Current Average Discount</t>
  </si>
  <si>
    <t>Current Total Sales</t>
  </si>
  <si>
    <t>current Total Profit</t>
  </si>
  <si>
    <t>New Average Discount</t>
  </si>
  <si>
    <t>Total Profit at New Discount</t>
  </si>
  <si>
    <t>New Vs Current Profit</t>
  </si>
  <si>
    <t>What-If Data</t>
  </si>
  <si>
    <t>Current Data</t>
  </si>
  <si>
    <t>Discount Rate</t>
  </si>
  <si>
    <t xml:space="preserve">Projected Total Profit </t>
  </si>
  <si>
    <t>New Vs Current</t>
  </si>
  <si>
    <t>Multi_Bar Chart</t>
  </si>
  <si>
    <t>Q7. Hight Value Customer</t>
  </si>
  <si>
    <t>Q1. Apply conditional formatting to highlight top 10 customers based on total purchase.</t>
  </si>
  <si>
    <t>Q2. What-If Analysis - Change Of Total Profit On Discount</t>
  </si>
  <si>
    <t>Q3. Linear Regression Of (Profit Vs Sales)</t>
  </si>
  <si>
    <t>Q4. Descriptive Statistics</t>
  </si>
  <si>
    <t>Q5. Monthy Sales Growth</t>
  </si>
  <si>
    <t>Q8. Total Sales By Product Category And Region (Pivot Table)</t>
  </si>
  <si>
    <t>Key Insights — Sales Dashboard</t>
  </si>
  <si>
    <t>Q6. TimeStamp</t>
  </si>
  <si>
    <r>
      <t xml:space="preserve">1. </t>
    </r>
    <r>
      <rPr>
        <sz val="14"/>
        <color theme="0"/>
        <rFont val="Aptos Narrow"/>
        <family val="2"/>
        <scheme val="minor"/>
      </rPr>
      <t>Total Sales: ₹1,95,218 | Total Profit: ₹68,287 (35% margin) across 200 orders, 13 months</t>
    </r>
  </si>
  <si>
    <r>
      <t>2.</t>
    </r>
    <r>
      <rPr>
        <sz val="14"/>
        <color theme="0"/>
        <rFont val="Aptos Narrow"/>
        <family val="2"/>
        <scheme val="minor"/>
      </rPr>
      <t>West region leads at ₹44,084; East trails at ₹32,442 — a 26% performance gap</t>
    </r>
  </si>
  <si>
    <r>
      <t xml:space="preserve">3. </t>
    </r>
    <r>
      <rPr>
        <sz val="14"/>
        <color theme="0"/>
        <rFont val="Aptos Narrow"/>
        <family val="2"/>
        <scheme val="minor"/>
      </rPr>
      <t>Books is the top category (₹47,002); Office Supplies is weakest (₹28,631)</t>
    </r>
  </si>
  <si>
    <r>
      <t xml:space="preserve">4. </t>
    </r>
    <r>
      <rPr>
        <sz val="14"/>
        <color theme="0"/>
        <rFont val="Aptos Narrow"/>
        <family val="2"/>
        <scheme val="minor"/>
      </rPr>
      <t>September 2024 was peak month (₹20,534); April 2025 dropped sharply (₹3,212) — needs verification (may be incomplete data)</t>
    </r>
  </si>
  <si>
    <r>
      <t xml:space="preserve">5. </t>
    </r>
    <r>
      <rPr>
        <sz val="14"/>
        <color theme="0"/>
        <rFont val="Aptos Narrow"/>
        <family val="2"/>
        <scheme val="minor"/>
      </rPr>
      <t>10 of 27 customers (37%) drive most of the revenue — top customer: James Wilson (₹20,775</t>
    </r>
    <r>
      <rPr>
        <b/>
        <sz val="14"/>
        <color theme="0"/>
        <rFont val="Aptos Narrow"/>
        <family val="2"/>
        <scheme val="minor"/>
      </rPr>
      <t>)</t>
    </r>
  </si>
  <si>
    <r>
      <t xml:space="preserve">6. </t>
    </r>
    <r>
      <rPr>
        <sz val="14"/>
        <color theme="0"/>
        <rFont val="Aptos Narrow"/>
        <family val="2"/>
        <scheme val="minor"/>
      </rPr>
      <t>Every ₹1 in sales adds ₹0.35 in profit, with sales explaining ~60% of profit variation (R² = 0.60)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</si>
</sst>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09]\ #,##0.00"/>
    <numFmt numFmtId="165" formatCode="dd/mm/yyyy"/>
    <numFmt numFmtId="166" formatCode="General\ \%"/>
    <numFmt numFmtId="167" formatCode="[$₹-4009]\ #,##0"/>
  </numFmts>
  <fonts count="15" x14ac:knownFonts="1">
    <font>
      <sz val="11"/>
      <color theme="1"/>
      <name val="Aptos Narrow"/>
      <family val="2"/>
      <scheme val="minor"/>
    </font>
    <font>
      <b/>
      <sz val="11"/>
      <color theme="1"/>
      <name val="Calibri"/>
      <family val="2"/>
    </font>
    <font>
      <sz val="11"/>
      <color theme="1"/>
      <name val="Calibri"/>
      <family val="2"/>
    </font>
    <font>
      <sz val="11"/>
      <color theme="1"/>
      <name val="Aptos Narrow"/>
      <family val="2"/>
      <scheme val="minor"/>
    </font>
    <font>
      <b/>
      <sz val="11"/>
      <color theme="1"/>
      <name val="Aptos Narrow"/>
      <family val="2"/>
      <scheme val="minor"/>
    </font>
    <font>
      <i/>
      <sz val="11"/>
      <color theme="1"/>
      <name val="Aptos Narrow"/>
      <family val="2"/>
      <scheme val="minor"/>
    </font>
    <font>
      <b/>
      <i/>
      <sz val="11"/>
      <color theme="1"/>
      <name val="Aptos Narrow"/>
      <family val="2"/>
      <scheme val="minor"/>
    </font>
    <font>
      <sz val="11"/>
      <color theme="0"/>
      <name val="Aptos Narrow"/>
      <family val="2"/>
      <scheme val="minor"/>
    </font>
    <font>
      <b/>
      <sz val="36"/>
      <color theme="0"/>
      <name val="Aptos Narrow"/>
      <family val="2"/>
      <scheme val="minor"/>
    </font>
    <font>
      <b/>
      <sz val="11"/>
      <color theme="0"/>
      <name val="Aptos Narrow"/>
      <family val="2"/>
      <scheme val="minor"/>
    </font>
    <font>
      <b/>
      <sz val="16"/>
      <color theme="0"/>
      <name val="Aptos Narrow"/>
      <family val="2"/>
      <scheme val="minor"/>
    </font>
    <font>
      <b/>
      <sz val="14"/>
      <color theme="0"/>
      <name val="Aptos Narrow"/>
      <family val="2"/>
      <scheme val="minor"/>
    </font>
    <font>
      <b/>
      <i/>
      <sz val="11"/>
      <color theme="0"/>
      <name val="Aptos Narrow"/>
      <family val="2"/>
      <scheme val="minor"/>
    </font>
    <font>
      <b/>
      <sz val="18"/>
      <color theme="0"/>
      <name val="Aptos Narrow"/>
      <family val="2"/>
      <scheme val="minor"/>
    </font>
    <font>
      <sz val="14"/>
      <color theme="0"/>
      <name val="Aptos Narrow"/>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1F2937"/>
        <bgColor indexed="64"/>
      </patternFill>
    </fill>
    <fill>
      <patternFill patternType="solid">
        <fgColor theme="4"/>
        <bgColor indexed="64"/>
      </patternFill>
    </fill>
    <fill>
      <patternFill patternType="solid">
        <fgColor theme="7" tint="-0.249977111117893"/>
        <bgColor indexed="64"/>
      </patternFill>
    </fill>
    <fill>
      <patternFill patternType="solid">
        <fgColor theme="7" tint="-0.499984740745262"/>
        <bgColor indexed="64"/>
      </patternFill>
    </fill>
  </fills>
  <borders count="3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top/>
      <bottom style="double">
        <color theme="0"/>
      </bottom>
      <diagonal/>
    </border>
    <border>
      <left/>
      <right style="double">
        <color theme="0"/>
      </right>
      <top style="double">
        <color theme="0"/>
      </top>
      <bottom/>
      <diagonal/>
    </border>
    <border>
      <left/>
      <right style="double">
        <color theme="0"/>
      </right>
      <top/>
      <bottom/>
      <diagonal/>
    </border>
    <border>
      <left/>
      <right style="double">
        <color theme="0"/>
      </right>
      <top/>
      <bottom style="double">
        <color theme="0"/>
      </bottom>
      <diagonal/>
    </border>
    <border>
      <left style="double">
        <color theme="0"/>
      </left>
      <right/>
      <top/>
      <bottom style="double">
        <color theme="0"/>
      </bottom>
      <diagonal/>
    </border>
    <border>
      <left/>
      <right style="double">
        <color theme="0"/>
      </right>
      <top style="double">
        <color theme="0"/>
      </top>
      <bottom style="double">
        <color theme="0"/>
      </bottom>
      <diagonal/>
    </border>
    <border>
      <left/>
      <right/>
      <top style="double">
        <color theme="0"/>
      </top>
      <bottom style="double">
        <color theme="0"/>
      </bottom>
      <diagonal/>
    </border>
    <border>
      <left style="double">
        <color theme="0"/>
      </left>
      <right/>
      <top/>
      <bottom/>
      <diagonal/>
    </border>
    <border>
      <left style="double">
        <color theme="0"/>
      </left>
      <right/>
      <top style="double">
        <color theme="0"/>
      </top>
      <bottom style="double">
        <color theme="0"/>
      </bottom>
      <diagonal/>
    </border>
  </borders>
  <cellStyleXfs count="2">
    <xf numFmtId="0" fontId="0" fillId="0" borderId="0"/>
    <xf numFmtId="9" fontId="3" fillId="0" borderId="0" applyFont="0" applyFill="0" applyBorder="0" applyAlignment="0" applyProtection="0"/>
  </cellStyleXfs>
  <cellXfs count="127">
    <xf numFmtId="0" fontId="0" fillId="0" borderId="0" xfId="0"/>
    <xf numFmtId="164" fontId="0" fillId="0" borderId="0" xfId="0" applyNumberFormat="1"/>
    <xf numFmtId="165" fontId="0" fillId="0" borderId="0" xfId="0" applyNumberFormat="1"/>
    <xf numFmtId="0" fontId="1" fillId="0" borderId="4" xfId="0" applyFont="1" applyBorder="1" applyAlignment="1"/>
    <xf numFmtId="0" fontId="1" fillId="0" borderId="5" xfId="0" applyFont="1" applyBorder="1" applyAlignment="1"/>
    <xf numFmtId="164" fontId="1" fillId="0" borderId="5" xfId="0" applyNumberFormat="1" applyFont="1" applyBorder="1" applyAlignment="1"/>
    <xf numFmtId="165" fontId="1" fillId="0" borderId="5" xfId="0" applyNumberFormat="1" applyFont="1" applyBorder="1" applyAlignment="1"/>
    <xf numFmtId="164" fontId="1" fillId="0" borderId="6" xfId="0" applyNumberFormat="1" applyFont="1" applyBorder="1" applyAlignment="1"/>
    <xf numFmtId="0" fontId="0" fillId="0" borderId="0" xfId="0" applyBorder="1"/>
    <xf numFmtId="0" fontId="0" fillId="0" borderId="0" xfId="0" applyBorder="1" applyAlignment="1">
      <alignment horizontal="center" vertical="center"/>
    </xf>
    <xf numFmtId="164" fontId="0" fillId="0" borderId="0" xfId="0" applyNumberFormat="1" applyBorder="1"/>
    <xf numFmtId="164" fontId="0" fillId="0" borderId="0" xfId="0" applyNumberFormat="1" applyBorder="1" applyAlignment="1">
      <alignment horizontal="center" vertical="center"/>
    </xf>
    <xf numFmtId="164" fontId="0" fillId="0" borderId="0" xfId="0" applyNumberFormat="1" applyFont="1" applyBorder="1" applyAlignment="1">
      <alignment horizontal="center" vertical="center"/>
    </xf>
    <xf numFmtId="166" fontId="0" fillId="0" borderId="0" xfId="0" applyNumberFormat="1" applyBorder="1"/>
    <xf numFmtId="166" fontId="0" fillId="0" borderId="0" xfId="0" applyNumberFormat="1" applyBorder="1" applyAlignment="1">
      <alignment horizontal="center" vertical="center"/>
    </xf>
    <xf numFmtId="166" fontId="0" fillId="0" borderId="0" xfId="0" applyNumberFormat="1"/>
    <xf numFmtId="0" fontId="0" fillId="0" borderId="0" xfId="0" applyFill="1" applyBorder="1" applyAlignment="1"/>
    <xf numFmtId="0" fontId="5" fillId="0" borderId="0" xfId="0" applyFont="1" applyFill="1" applyBorder="1" applyAlignment="1">
      <alignment horizontal="center"/>
    </xf>
    <xf numFmtId="0" fontId="0" fillId="0" borderId="0" xfId="0" applyAlignment="1"/>
    <xf numFmtId="0" fontId="0" fillId="0" borderId="16" xfId="0" applyBorder="1"/>
    <xf numFmtId="0" fontId="5" fillId="0" borderId="0" xfId="0" applyFont="1" applyFill="1" applyBorder="1" applyAlignment="1">
      <alignment horizontal="centerContinuous"/>
    </xf>
    <xf numFmtId="0" fontId="4" fillId="0" borderId="10" xfId="0" applyFont="1" applyFill="1" applyBorder="1" applyAlignment="1">
      <alignment horizontal="center" vertical="center"/>
    </xf>
    <xf numFmtId="0" fontId="0" fillId="0" borderId="10" xfId="0" applyFill="1" applyBorder="1" applyAlignment="1">
      <alignment horizontal="center" vertical="center"/>
    </xf>
    <xf numFmtId="0" fontId="5" fillId="0" borderId="10" xfId="0" applyFont="1" applyFill="1" applyBorder="1" applyAlignment="1">
      <alignment horizontal="center" vertical="center"/>
    </xf>
    <xf numFmtId="0" fontId="6" fillId="0" borderId="10" xfId="0" applyFont="1" applyFill="1" applyBorder="1" applyAlignment="1">
      <alignment horizontal="center" vertical="center"/>
    </xf>
    <xf numFmtId="0" fontId="0" fillId="0" borderId="16" xfId="0" applyBorder="1" applyAlignment="1">
      <alignment horizontal="center" vertical="center"/>
    </xf>
    <xf numFmtId="0" fontId="4" fillId="0" borderId="17" xfId="0" applyFont="1" applyFill="1" applyBorder="1" applyAlignment="1">
      <alignment horizontal="center" vertical="center"/>
    </xf>
    <xf numFmtId="0" fontId="0" fillId="0" borderId="17" xfId="0" applyFill="1" applyBorder="1" applyAlignment="1">
      <alignment horizontal="center" vertical="center"/>
    </xf>
    <xf numFmtId="0" fontId="0" fillId="0" borderId="0" xfId="0" applyAlignment="1">
      <alignment horizontal="center" vertical="center"/>
    </xf>
    <xf numFmtId="164" fontId="0" fillId="0" borderId="10" xfId="0" applyNumberFormat="1" applyFill="1" applyBorder="1" applyAlignment="1">
      <alignment horizontal="center" vertical="center"/>
    </xf>
    <xf numFmtId="9" fontId="0" fillId="0" borderId="0" xfId="1" applyFont="1" applyFill="1" applyBorder="1" applyAlignment="1"/>
    <xf numFmtId="0" fontId="4" fillId="0" borderId="13" xfId="0" applyFont="1" applyFill="1" applyBorder="1" applyAlignment="1">
      <alignment horizontal="center" vertical="center"/>
    </xf>
    <xf numFmtId="164" fontId="0" fillId="0" borderId="12" xfId="0" applyNumberFormat="1" applyFill="1" applyBorder="1" applyAlignment="1">
      <alignment horizontal="center" vertical="center"/>
    </xf>
    <xf numFmtId="0" fontId="4" fillId="0" borderId="18" xfId="0" applyFont="1" applyFill="1" applyBorder="1" applyAlignment="1">
      <alignment horizontal="center" vertical="center"/>
    </xf>
    <xf numFmtId="164" fontId="0" fillId="0" borderId="19" xfId="0" applyNumberFormat="1" applyFill="1" applyBorder="1" applyAlignment="1">
      <alignment horizontal="center" vertical="center"/>
    </xf>
    <xf numFmtId="164" fontId="0" fillId="0" borderId="20" xfId="0" applyNumberFormat="1" applyFill="1" applyBorder="1" applyAlignment="1">
      <alignment horizontal="center" vertical="center"/>
    </xf>
    <xf numFmtId="0" fontId="0" fillId="0" borderId="20" xfId="0" applyBorder="1"/>
    <xf numFmtId="0" fontId="0" fillId="0" borderId="21" xfId="0" applyBorder="1"/>
    <xf numFmtId="0" fontId="0" fillId="0" borderId="18" xfId="0" applyBorder="1"/>
    <xf numFmtId="0" fontId="0" fillId="0" borderId="22" xfId="0" applyBorder="1"/>
    <xf numFmtId="0" fontId="0" fillId="0" borderId="14" xfId="0" applyBorder="1"/>
    <xf numFmtId="0" fontId="0" fillId="0" borderId="23" xfId="0" applyBorder="1"/>
    <xf numFmtId="0" fontId="0" fillId="0" borderId="15" xfId="0" applyBorder="1"/>
    <xf numFmtId="0" fontId="4" fillId="2" borderId="15"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4" xfId="0" applyFont="1" applyFill="1" applyBorder="1" applyAlignment="1">
      <alignment horizontal="center" vertical="center"/>
    </xf>
    <xf numFmtId="0" fontId="0" fillId="0" borderId="0" xfId="0" applyNumberFormat="1"/>
    <xf numFmtId="0" fontId="0" fillId="0" borderId="0" xfId="0" applyNumberFormat="1" applyBorder="1" applyAlignment="1">
      <alignment horizontal="center" vertical="center"/>
    </xf>
    <xf numFmtId="0" fontId="0" fillId="0" borderId="16" xfId="0" applyNumberFormat="1" applyBorder="1" applyAlignment="1">
      <alignment horizontal="center" vertical="center"/>
    </xf>
    <xf numFmtId="0" fontId="0" fillId="3" borderId="0" xfId="0" applyFill="1" applyAlignment="1">
      <alignment horizontal="center" vertical="center"/>
    </xf>
    <xf numFmtId="0" fontId="0" fillId="3" borderId="0" xfId="0" applyFill="1" applyBorder="1" applyAlignment="1">
      <alignment horizontal="center" vertical="center"/>
    </xf>
    <xf numFmtId="164" fontId="0" fillId="3" borderId="0" xfId="0" applyNumberFormat="1" applyFill="1" applyBorder="1" applyAlignment="1">
      <alignment horizontal="center" vertical="center"/>
    </xf>
    <xf numFmtId="166" fontId="0" fillId="3" borderId="0" xfId="0" applyNumberFormat="1" applyFill="1" applyBorder="1" applyAlignment="1">
      <alignment horizontal="center" vertical="center"/>
    </xf>
    <xf numFmtId="0" fontId="0" fillId="0" borderId="10" xfId="0" applyFont="1" applyBorder="1" applyAlignment="1">
      <alignment horizontal="center" vertical="center"/>
    </xf>
    <xf numFmtId="10" fontId="0" fillId="0" borderId="10" xfId="0" applyNumberFormat="1" applyBorder="1" applyAlignment="1">
      <alignment horizontal="center" vertical="center"/>
    </xf>
    <xf numFmtId="0" fontId="0" fillId="0" borderId="12" xfId="0" applyNumberFormat="1" applyFont="1" applyBorder="1" applyAlignment="1">
      <alignment horizontal="center" vertical="center"/>
    </xf>
    <xf numFmtId="10" fontId="0" fillId="0" borderId="0" xfId="0" applyNumberFormat="1" applyBorder="1"/>
    <xf numFmtId="0" fontId="7" fillId="4" borderId="0" xfId="0" applyFont="1" applyFill="1" applyBorder="1" applyAlignment="1">
      <alignment horizontal="center" vertical="center"/>
    </xf>
    <xf numFmtId="9" fontId="0" fillId="0" borderId="10" xfId="0" applyNumberFormat="1" applyBorder="1" applyAlignment="1">
      <alignment horizontal="center" vertical="center"/>
    </xf>
    <xf numFmtId="167" fontId="0" fillId="0" borderId="10" xfId="0" applyNumberFormat="1" applyBorder="1" applyAlignment="1">
      <alignment horizontal="center" vertical="center"/>
    </xf>
    <xf numFmtId="0" fontId="4" fillId="0" borderId="10" xfId="0" applyFont="1" applyBorder="1" applyAlignment="1">
      <alignment horizontal="center" vertical="center"/>
    </xf>
    <xf numFmtId="164" fontId="0" fillId="0" borderId="10" xfId="0" applyNumberFormat="1" applyBorder="1" applyAlignment="1">
      <alignment horizontal="center" vertical="center"/>
    </xf>
    <xf numFmtId="0" fontId="0" fillId="4" borderId="0" xfId="0" applyFill="1" applyBorder="1" applyAlignment="1">
      <alignment horizontal="center" vertical="center"/>
    </xf>
    <xf numFmtId="0" fontId="8" fillId="4" borderId="0"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64" fontId="2" fillId="0" borderId="3" xfId="0" applyNumberFormat="1"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4" fontId="2" fillId="0" borderId="8" xfId="0" applyNumberFormat="1" applyFont="1" applyBorder="1" applyAlignment="1">
      <alignment horizontal="center" vertical="center"/>
    </xf>
    <xf numFmtId="165" fontId="2" fillId="0" borderId="8" xfId="0" applyNumberFormat="1" applyFont="1" applyBorder="1" applyAlignment="1">
      <alignment horizontal="center" vertical="center"/>
    </xf>
    <xf numFmtId="164" fontId="2" fillId="0" borderId="9" xfId="0" applyNumberFormat="1" applyFont="1" applyBorder="1" applyAlignment="1">
      <alignment horizontal="center" vertical="center"/>
    </xf>
    <xf numFmtId="0" fontId="9" fillId="5" borderId="10"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12" xfId="0" applyFont="1" applyFill="1" applyBorder="1" applyAlignment="1">
      <alignment horizontal="center" vertical="center"/>
    </xf>
    <xf numFmtId="10" fontId="4" fillId="2" borderId="10" xfId="0" applyNumberFormat="1" applyFont="1" applyFill="1" applyBorder="1" applyAlignment="1">
      <alignment horizontal="center" vertical="center"/>
    </xf>
    <xf numFmtId="0" fontId="0" fillId="2" borderId="12" xfId="0" applyNumberFormat="1" applyFont="1" applyFill="1" applyBorder="1" applyAlignment="1">
      <alignment horizontal="center" vertical="center"/>
    </xf>
    <xf numFmtId="0" fontId="0" fillId="2" borderId="15" xfId="0" applyFill="1" applyBorder="1" applyAlignment="1">
      <alignment horizontal="center" vertical="center"/>
    </xf>
    <xf numFmtId="0" fontId="0" fillId="2" borderId="23" xfId="0" applyNumberFormat="1" applyFill="1" applyBorder="1" applyAlignment="1">
      <alignment horizontal="center" vertical="center"/>
    </xf>
    <xf numFmtId="0" fontId="0" fillId="2" borderId="15" xfId="0" applyNumberFormat="1" applyFill="1" applyBorder="1" applyAlignment="1">
      <alignment horizontal="center" vertical="center"/>
    </xf>
    <xf numFmtId="0" fontId="0" fillId="2" borderId="23" xfId="0" applyFill="1" applyBorder="1" applyAlignment="1">
      <alignment horizontal="center" vertical="center"/>
    </xf>
    <xf numFmtId="0" fontId="0" fillId="2" borderId="16" xfId="0" applyFill="1" applyBorder="1" applyAlignment="1">
      <alignment horizontal="center" vertical="center"/>
    </xf>
    <xf numFmtId="0" fontId="7"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10" fillId="0" borderId="0" xfId="0" applyFont="1" applyFill="1" applyBorder="1" applyAlignment="1">
      <alignment horizontal="center" vertical="center"/>
    </xf>
    <xf numFmtId="0" fontId="0" fillId="0" borderId="0" xfId="0" applyFont="1" applyFill="1" applyBorder="1" applyAlignment="1">
      <alignment horizontal="center"/>
    </xf>
    <xf numFmtId="22" fontId="0" fillId="0" borderId="0" xfId="0" applyNumberFormat="1" applyFill="1" applyBorder="1" applyAlignment="1">
      <alignment horizontal="center" vertical="center"/>
    </xf>
    <xf numFmtId="22" fontId="0" fillId="0" borderId="0" xfId="0" applyNumberFormat="1" applyBorder="1" applyAlignment="1">
      <alignment horizontal="center" vertical="center"/>
    </xf>
    <xf numFmtId="22" fontId="0" fillId="0" borderId="0" xfId="0" applyNumberFormat="1" applyAlignment="1">
      <alignment horizontal="center" vertical="center"/>
    </xf>
    <xf numFmtId="22" fontId="0" fillId="3" borderId="0" xfId="0" applyNumberFormat="1" applyFill="1" applyBorder="1" applyAlignment="1">
      <alignment horizontal="center" vertical="center"/>
    </xf>
    <xf numFmtId="22" fontId="0" fillId="3" borderId="0" xfId="0" applyNumberFormat="1" applyFill="1" applyAlignment="1">
      <alignment horizontal="center" vertical="center"/>
    </xf>
    <xf numFmtId="0" fontId="0" fillId="2" borderId="10" xfId="0" applyFill="1" applyBorder="1"/>
    <xf numFmtId="0" fontId="0" fillId="0" borderId="10" xfId="0" applyBorder="1" applyAlignment="1">
      <alignment horizontal="left"/>
    </xf>
    <xf numFmtId="0" fontId="0" fillId="0" borderId="10" xfId="0" applyNumberFormat="1" applyBorder="1"/>
    <xf numFmtId="0" fontId="0" fillId="2" borderId="10" xfId="0" applyFill="1" applyBorder="1" applyAlignment="1">
      <alignment horizontal="left"/>
    </xf>
    <xf numFmtId="0" fontId="0" fillId="2" borderId="10" xfId="0" applyNumberFormat="1" applyFill="1" applyBorder="1"/>
    <xf numFmtId="0" fontId="13" fillId="4" borderId="0" xfId="0" applyFont="1" applyFill="1" applyBorder="1" applyAlignment="1">
      <alignment horizontal="center" vertical="center"/>
    </xf>
    <xf numFmtId="0" fontId="13" fillId="4" borderId="26" xfId="0" applyFont="1" applyFill="1" applyBorder="1" applyAlignment="1">
      <alignment horizontal="center" vertical="center"/>
    </xf>
    <xf numFmtId="0" fontId="7" fillId="4" borderId="31" xfId="0" applyFont="1" applyFill="1" applyBorder="1" applyAlignment="1">
      <alignment horizontal="center" vertical="center"/>
    </xf>
    <xf numFmtId="0" fontId="13" fillId="4" borderId="31" xfId="0" applyFont="1" applyFill="1" applyBorder="1" applyAlignment="1">
      <alignment horizontal="center" vertical="center"/>
    </xf>
    <xf numFmtId="0" fontId="8" fillId="4" borderId="32" xfId="0" applyFont="1" applyFill="1" applyBorder="1" applyAlignment="1">
      <alignment horizontal="center" vertical="center"/>
    </xf>
    <xf numFmtId="0" fontId="8" fillId="4" borderId="30" xfId="0" applyFont="1" applyFill="1" applyBorder="1" applyAlignment="1">
      <alignment horizontal="center" vertical="center"/>
    </xf>
    <xf numFmtId="0" fontId="8" fillId="4" borderId="29" xfId="0" applyFont="1" applyFill="1" applyBorder="1" applyAlignment="1">
      <alignment horizontal="center" vertical="center"/>
    </xf>
    <xf numFmtId="0" fontId="13" fillId="4" borderId="30" xfId="0" applyFont="1" applyFill="1" applyBorder="1" applyAlignment="1">
      <alignment horizontal="center" vertical="center"/>
    </xf>
    <xf numFmtId="0" fontId="13" fillId="4" borderId="29" xfId="0" applyFont="1" applyFill="1" applyBorder="1" applyAlignment="1">
      <alignment horizontal="center" vertical="center"/>
    </xf>
    <xf numFmtId="0" fontId="11" fillId="4" borderId="0" xfId="0" applyFont="1" applyFill="1" applyBorder="1" applyAlignment="1">
      <alignment horizontal="left" vertical="top" wrapText="1"/>
    </xf>
    <xf numFmtId="0" fontId="11" fillId="4" borderId="26" xfId="0" applyFont="1" applyFill="1" applyBorder="1" applyAlignment="1">
      <alignment horizontal="left" vertical="top" wrapText="1"/>
    </xf>
    <xf numFmtId="0" fontId="10" fillId="7" borderId="0" xfId="0" applyFont="1" applyFill="1" applyBorder="1" applyAlignment="1">
      <alignment horizontal="center" vertical="center"/>
    </xf>
    <xf numFmtId="0" fontId="10" fillId="5" borderId="10" xfId="0" applyFont="1" applyFill="1" applyBorder="1" applyAlignment="1">
      <alignment horizontal="center" vertical="center"/>
    </xf>
    <xf numFmtId="0" fontId="11" fillId="5" borderId="10"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3" xfId="0" applyFont="1" applyFill="1" applyBorder="1" applyAlignment="1">
      <alignment horizontal="center" vertical="center"/>
    </xf>
    <xf numFmtId="0" fontId="10" fillId="5" borderId="12" xfId="0" applyFont="1" applyFill="1" applyBorder="1" applyAlignment="1">
      <alignment horizontal="center"/>
    </xf>
    <xf numFmtId="0" fontId="10" fillId="5" borderId="11" xfId="0" applyFont="1" applyFill="1" applyBorder="1" applyAlignment="1">
      <alignment horizontal="center"/>
    </xf>
    <xf numFmtId="0" fontId="10" fillId="5" borderId="13" xfId="0" applyFont="1" applyFill="1" applyBorder="1" applyAlignment="1">
      <alignment horizontal="center"/>
    </xf>
    <xf numFmtId="0" fontId="10" fillId="6" borderId="10" xfId="0" applyFont="1" applyFill="1" applyBorder="1" applyAlignment="1">
      <alignment horizontal="center" vertical="center"/>
    </xf>
    <xf numFmtId="0" fontId="10" fillId="6" borderId="12" xfId="0" applyFont="1" applyFill="1" applyBorder="1" applyAlignment="1">
      <alignment horizontal="center" vertical="center"/>
    </xf>
    <xf numFmtId="0" fontId="10" fillId="6" borderId="11" xfId="0" applyFont="1" applyFill="1" applyBorder="1" applyAlignment="1">
      <alignment horizontal="center" vertical="center"/>
    </xf>
    <xf numFmtId="0" fontId="10" fillId="6" borderId="13" xfId="0" applyFont="1" applyFill="1" applyBorder="1" applyAlignment="1">
      <alignment horizontal="center" vertical="center"/>
    </xf>
  </cellXfs>
  <cellStyles count="2">
    <cellStyle name="Normal" xfId="0" builtinId="0"/>
    <cellStyle name="Percent" xfId="1" builtinId="5"/>
  </cellStyles>
  <dxfs count="16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fill>
        <patternFill>
          <bgColor theme="9" tint="0.39997558519241921"/>
        </patternFill>
      </fill>
    </dxf>
    <dxf>
      <fill>
        <patternFill>
          <bgColor theme="9"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alignment wrapTex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top style="thin">
          <color indexed="64"/>
        </top>
        <vertical style="thin">
          <color indexed="64"/>
        </vertical>
        <horizontal style="thin">
          <color indexed="64"/>
        </horizontal>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font>
        <b val="0"/>
      </font>
    </dxf>
    <dxf>
      <font>
        <b val="0"/>
      </font>
    </dxf>
    <dxf>
      <font>
        <b val="0"/>
      </font>
    </dxf>
    <dxf>
      <font>
        <b val="0"/>
      </font>
    </dxf>
    <dxf>
      <font>
        <b val="0"/>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4009]\ #,##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4009]\ #,##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9"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27" formatCode="m/d/yyyy\ 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6" formatCode="General\ \%"/>
      <alignment horizontal="center" vertical="center" textRotation="0" wrapText="0" indent="0" justifyLastLine="0" shrinkToFit="0" readingOrder="0"/>
    </dxf>
    <dxf>
      <numFmt numFmtId="164" formatCode="[$₹-4009]\ #,##0.00"/>
      <alignment horizontal="center" vertical="center" textRotation="0" wrapText="0" indent="0" justifyLastLine="0" shrinkToFit="0" readingOrder="0"/>
    </dxf>
    <dxf>
      <numFmt numFmtId="164" formatCode="[$₹-4009]\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4009]\ #,##0.00"/>
      <alignment horizontal="center" vertical="center" textRotation="0" wrapText="0"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65" formatCode="dd/mm/yyyy"/>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64" formatCode="[$₹-4009]\ #,##0.00"/>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center" vertical="center" textRotation="0" wrapText="0" indent="0" justifyLastLine="0" shrinkToFit="0" readingOrder="0"/>
    </dxf>
    <dxf>
      <border outline="0">
        <bottom style="medium">
          <color rgb="FFCCCCCC"/>
        </bottom>
      </border>
    </dxf>
    <dxf>
      <font>
        <b/>
        <i val="0"/>
      </font>
      <fill>
        <patternFill>
          <bgColor rgb="FFBDD7EE"/>
        </patternFill>
      </fill>
    </dxf>
    <dxf>
      <fill>
        <patternFill>
          <bgColor rgb="FFF2F2F2"/>
        </patternFill>
      </fill>
    </dxf>
    <dxf>
      <fill>
        <patternFill>
          <bgColor rgb="FF393939"/>
        </patternFill>
      </fill>
      <border>
        <left style="thin">
          <color theme="0"/>
        </left>
        <right style="thin">
          <color theme="0"/>
        </right>
        <top style="thin">
          <color theme="0"/>
        </top>
        <bottom style="thin">
          <color theme="0"/>
        </bottom>
      </border>
    </dxf>
    <dxf>
      <font>
        <b/>
        <i val="0"/>
        <color theme="0"/>
      </font>
      <fill>
        <patternFill>
          <bgColor rgb="FF2C3E50"/>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Slicer Style 1" pivot="0" table="0" count="5" xr9:uid="{004EB89F-546D-4F65-B2B2-8AFABCB972BE}">
      <tableStyleElement type="wholeTable" dxfId="168"/>
      <tableStyleElement type="headerRow" dxfId="167"/>
    </tableStyle>
    <tableStyle name="Slicer Style 3" pivot="0" table="0" count="6" xr9:uid="{A05AE74F-458B-4844-99FA-BC4E561B5274}">
      <tableStyleElement type="wholeTable" dxfId="166"/>
      <tableStyleElement type="headerRow" dxfId="165"/>
    </tableStyle>
  </tableStyles>
  <colors>
    <mruColors>
      <color rgb="FF1F4E78"/>
      <color rgb="FF2C3E50"/>
      <color rgb="FF1F2937"/>
      <color rgb="FF5B9BD5"/>
      <color rgb="FF3B4A5A"/>
      <color rgb="FF393939"/>
      <color rgb="FFF2F2F2"/>
      <color rgb="FFDCE6F1"/>
      <color rgb="FF2E75B6"/>
      <color rgb="FFBDD7EE"/>
    </mruColors>
  </colors>
  <extLst>
    <ext xmlns:x14="http://schemas.microsoft.com/office/spreadsheetml/2009/9/main" uri="{46F421CA-312F-682f-3DD2-61675219B42D}">
      <x14:dxfs count="5">
        <dxf>
          <fill>
            <patternFill>
              <bgColor rgb="FF1F4E78"/>
            </patternFill>
          </fill>
        </dxf>
        <dxf>
          <fill>
            <patternFill>
              <bgColor rgb="FFDCE6F1"/>
            </patternFill>
          </fill>
        </dxf>
        <dxf>
          <fill>
            <patternFill>
              <bgColor rgb="FF2E75B6"/>
            </patternFill>
          </fill>
        </dxf>
        <dxf>
          <font>
            <b/>
            <i val="0"/>
          </font>
        </dxf>
        <dxf>
          <fill>
            <patternFill>
              <bgColor rgb="FF5B9BD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x14:slicerStyleElement type="selectedItemWithData" dxfId="4"/>
            <x14:slicerStyleElement type="hoveredUnselectedItemWithData"/>
          </x14:slicerStyleElements>
        </x14:slicerStyle>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Data.xlsx]Total Sales!PivotTable7</c:name>
    <c:fmtId val="7"/>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Sales by Region &amp; catagory</a:t>
            </a:r>
          </a:p>
        </c:rich>
      </c:tx>
      <c:layout>
        <c:manualLayout>
          <c:xMode val="edge"/>
          <c:yMode val="edge"/>
          <c:x val="0.26048627109384254"/>
          <c:y val="4.7542885264341958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40014212197268E-2"/>
          <c:y val="0.15948484955005623"/>
          <c:w val="0.76070881423664838"/>
          <c:h val="0.68092513826396706"/>
        </c:manualLayout>
      </c:layout>
      <c:barChart>
        <c:barDir val="col"/>
        <c:grouping val="clustered"/>
        <c:varyColors val="0"/>
        <c:ser>
          <c:idx val="0"/>
          <c:order val="0"/>
          <c:tx>
            <c:strRef>
              <c:f>'Total Sales'!$B$2:$B$3</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Sales'!$B$4:$B$9</c:f>
              <c:numCache>
                <c:formatCode>General</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0-0DFA-4D4A-A1E1-4538C6E85077}"/>
            </c:ext>
          </c:extLst>
        </c:ser>
        <c:ser>
          <c:idx val="1"/>
          <c:order val="1"/>
          <c:tx>
            <c:strRef>
              <c:f>'Total Sales'!$C$2:$C$3</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Sales'!$C$4:$C$9</c:f>
              <c:numCache>
                <c:formatCode>General</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22-0DFA-4D4A-A1E1-4538C6E85077}"/>
            </c:ext>
          </c:extLst>
        </c:ser>
        <c:ser>
          <c:idx val="2"/>
          <c:order val="2"/>
          <c:tx>
            <c:strRef>
              <c:f>'Total Sales'!$D$2:$D$3</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Sales'!$D$4:$D$9</c:f>
              <c:numCache>
                <c:formatCode>General</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23-0DFA-4D4A-A1E1-4538C6E85077}"/>
            </c:ext>
          </c:extLst>
        </c:ser>
        <c:ser>
          <c:idx val="3"/>
          <c:order val="3"/>
          <c:tx>
            <c:strRef>
              <c:f>'Total Sales'!$E$2:$E$3</c:f>
              <c:strCache>
                <c:ptCount val="1"/>
                <c:pt idx="0">
                  <c:v>South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Sales'!$E$4:$E$9</c:f>
              <c:numCache>
                <c:formatCode>General</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24-0DFA-4D4A-A1E1-4538C6E85077}"/>
            </c:ext>
          </c:extLst>
        </c:ser>
        <c:ser>
          <c:idx val="4"/>
          <c:order val="4"/>
          <c:tx>
            <c:strRef>
              <c:f>'Total Sales'!$F$2:$F$3</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Sales'!$F$4:$F$9</c:f>
              <c:numCache>
                <c:formatCode>General</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25-0DFA-4D4A-A1E1-4538C6E85077}"/>
            </c:ext>
          </c:extLst>
        </c:ser>
        <c:dLbls>
          <c:showLegendKey val="0"/>
          <c:showVal val="0"/>
          <c:showCatName val="0"/>
          <c:showSerName val="0"/>
          <c:showPercent val="0"/>
          <c:showBubbleSize val="0"/>
        </c:dLbls>
        <c:gapWidth val="100"/>
        <c:overlap val="-24"/>
        <c:axId val="242768048"/>
        <c:axId val="242770928"/>
      </c:barChart>
      <c:catAx>
        <c:axId val="2427680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42770928"/>
        <c:crosses val="autoZero"/>
        <c:auto val="1"/>
        <c:lblAlgn val="ctr"/>
        <c:lblOffset val="100"/>
        <c:noMultiLvlLbl val="0"/>
      </c:catAx>
      <c:valAx>
        <c:axId val="24277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276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Data.xlsx]Total Sales!PivotTable37</c:name>
    <c:fmtId val="9"/>
  </c:pivotSource>
  <c:chart>
    <c:title>
      <c:tx>
        <c:rich>
          <a:bodyPr rot="0" spcFirstLastPara="1" vertOverflow="ellipsis" vert="horz" wrap="square" anchor="ctr" anchorCtr="1"/>
          <a:lstStyle/>
          <a:p>
            <a:pPr>
              <a:defRPr sz="2400" b="1" i="0" u="none" strike="noStrike" kern="1200" baseline="0">
                <a:solidFill>
                  <a:schemeClr val="dk1">
                    <a:lumMod val="65000"/>
                    <a:lumOff val="35000"/>
                  </a:schemeClr>
                </a:solidFill>
                <a:latin typeface="+mn-lt"/>
                <a:ea typeface="+mn-ea"/>
                <a:cs typeface="+mn-cs"/>
              </a:defRPr>
            </a:pPr>
            <a:r>
              <a:rPr lang="en-US" sz="2400"/>
              <a:t>Quantity Sold Per Region</a:t>
            </a:r>
          </a:p>
        </c:rich>
      </c:tx>
      <c:layout>
        <c:manualLayout>
          <c:xMode val="edge"/>
          <c:yMode val="edge"/>
          <c:x val="0.27655144801815029"/>
          <c:y val="3.8905251347398369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1"/>
          <c:showVal val="1"/>
          <c:showCatName val="0"/>
          <c:showSerName val="0"/>
          <c:showPercent val="1"/>
          <c:showBubbleSize val="0"/>
          <c:separator> /  </c:separator>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Sales'!$B$12</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B43-4760-BEF1-FDF16BCFDCB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B43-4760-BEF1-FDF16BCFDCB6}"/>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B43-4760-BEF1-FDF16BCFDCB6}"/>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1B43-4760-BEF1-FDF16BCFDCB6}"/>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1B43-4760-BEF1-FDF16BCFDCB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1"/>
            <c:showVal val="1"/>
            <c:showCatName val="0"/>
            <c:showSerName val="0"/>
            <c:showPercent val="1"/>
            <c:showBubbleSize val="0"/>
            <c:separator> /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'Total Sales'!$A$13:$A$18</c:f>
              <c:strCache>
                <c:ptCount val="5"/>
                <c:pt idx="0">
                  <c:v>Central</c:v>
                </c:pt>
                <c:pt idx="1">
                  <c:v>East</c:v>
                </c:pt>
                <c:pt idx="2">
                  <c:v>North</c:v>
                </c:pt>
                <c:pt idx="3">
                  <c:v>South</c:v>
                </c:pt>
                <c:pt idx="4">
                  <c:v>West</c:v>
                </c:pt>
              </c:strCache>
            </c:strRef>
          </c:cat>
          <c:val>
            <c:numRef>
              <c:f>'Total Sales'!$B$13:$B$18</c:f>
              <c:numCache>
                <c:formatCode>General</c:formatCode>
                <c:ptCount val="5"/>
                <c:pt idx="0">
                  <c:v>410</c:v>
                </c:pt>
                <c:pt idx="1">
                  <c:v>374</c:v>
                </c:pt>
                <c:pt idx="2">
                  <c:v>383</c:v>
                </c:pt>
                <c:pt idx="3">
                  <c:v>374</c:v>
                </c:pt>
                <c:pt idx="4">
                  <c:v>458</c:v>
                </c:pt>
              </c:numCache>
            </c:numRef>
          </c:val>
          <c:extLst>
            <c:ext xmlns:c16="http://schemas.microsoft.com/office/drawing/2014/chart" uri="{C3380CC4-5D6E-409C-BE32-E72D297353CC}">
              <c16:uniqueId val="{0000000A-1B43-4760-BEF1-FDF16BCFDCB6}"/>
            </c:ext>
          </c:extLst>
        </c:ser>
        <c:dLbls>
          <c:dLblPos val="inEnd"/>
          <c:showLegendKey val="0"/>
          <c:showVal val="1"/>
          <c:showCatName val="0"/>
          <c:showSerName val="0"/>
          <c:showPercent val="0"/>
          <c:showBubbleSize val="0"/>
          <c:showLeaderLines val="1"/>
        </c:dLbls>
      </c:pie3D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105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Top 10 Sales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10'!$F$4,'Top 10'!$F$8,'Top 10'!$F$10,'Top 10'!$F$13,'Top 10'!$F$20,'Top 10'!$F$21,'Top 10'!$F$22,'Top 10'!$F$23,'Top 10'!$F$26,'Top 10'!$F$27)</c:f>
              <c:strCache>
                <c:ptCount val="10"/>
                <c:pt idx="0">
                  <c:v>David Brown</c:v>
                </c:pt>
                <c:pt idx="1">
                  <c:v>Emma Davis</c:v>
                </c:pt>
                <c:pt idx="2">
                  <c:v>Emma Wilson</c:v>
                </c:pt>
                <c:pt idx="3">
                  <c:v>James Wilson</c:v>
                </c:pt>
                <c:pt idx="4">
                  <c:v>Linda Wilson</c:v>
                </c:pt>
                <c:pt idx="5">
                  <c:v>Lisa Davis</c:v>
                </c:pt>
                <c:pt idx="6">
                  <c:v>Lisa Thomas</c:v>
                </c:pt>
                <c:pt idx="7">
                  <c:v>Mary Davis</c:v>
                </c:pt>
                <c:pt idx="8">
                  <c:v>Michael Anderson</c:v>
                </c:pt>
                <c:pt idx="9">
                  <c:v>Robert Anderson</c:v>
                </c:pt>
              </c:strCache>
            </c:strRef>
          </c:cat>
          <c:val>
            <c:numRef>
              <c:f>('Top 10'!$I$4,'Top 10'!$I$8,'Top 10'!$I$10,'Top 10'!$I$13,'Top 10'!$I$20,'Top 10'!$I$21,'Top 10'!$I$22,'Top 10'!$I$23,'Top 10'!$I$26,'Top 10'!$I$27)</c:f>
              <c:numCache>
                <c:formatCode>[$₹-4009]\ #,##0.00</c:formatCode>
                <c:ptCount val="10"/>
                <c:pt idx="0">
                  <c:v>11915.829999999998</c:v>
                </c:pt>
                <c:pt idx="1">
                  <c:v>11398.32</c:v>
                </c:pt>
                <c:pt idx="2">
                  <c:v>8543.9699999999993</c:v>
                </c:pt>
                <c:pt idx="3">
                  <c:v>20774.739999999998</c:v>
                </c:pt>
                <c:pt idx="4">
                  <c:v>9970.1999999999989</c:v>
                </c:pt>
                <c:pt idx="5">
                  <c:v>8090.12</c:v>
                </c:pt>
                <c:pt idx="6">
                  <c:v>8635.9500000000007</c:v>
                </c:pt>
                <c:pt idx="7">
                  <c:v>17143.289999999997</c:v>
                </c:pt>
                <c:pt idx="8">
                  <c:v>7881.9</c:v>
                </c:pt>
                <c:pt idx="9">
                  <c:v>8331.8499999999985</c:v>
                </c:pt>
              </c:numCache>
            </c:numRef>
          </c:val>
          <c:extLst>
            <c:ext xmlns:c16="http://schemas.microsoft.com/office/drawing/2014/chart" uri="{C3380CC4-5D6E-409C-BE32-E72D297353CC}">
              <c16:uniqueId val="{00000000-98E1-4967-A312-246777E90BE9}"/>
            </c:ext>
          </c:extLst>
        </c:ser>
        <c:dLbls>
          <c:showLegendKey val="0"/>
          <c:showVal val="0"/>
          <c:showCatName val="0"/>
          <c:showSerName val="0"/>
          <c:showPercent val="0"/>
          <c:showBubbleSize val="0"/>
        </c:dLbls>
        <c:gapWidth val="115"/>
        <c:overlap val="-20"/>
        <c:axId val="446256224"/>
        <c:axId val="446265344"/>
      </c:barChart>
      <c:catAx>
        <c:axId val="4462562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46265344"/>
        <c:crosses val="autoZero"/>
        <c:auto val="1"/>
        <c:lblAlgn val="ctr"/>
        <c:lblOffset val="100"/>
        <c:noMultiLvlLbl val="0"/>
      </c:catAx>
      <c:valAx>
        <c:axId val="446265344"/>
        <c:scaling>
          <c:orientation val="minMax"/>
        </c:scaling>
        <c:delete val="0"/>
        <c:axPos val="b"/>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4625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Data.xlsx]Monthy Sales!PivotTable6</c:name>
    <c:fmtId val="32"/>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u="none"/>
              <a:t>Sales</a:t>
            </a:r>
            <a:r>
              <a:rPr lang="en-US" sz="2000" u="none" baseline="0"/>
              <a:t> / Month</a:t>
            </a:r>
            <a:endParaRPr lang="en-US" sz="2000" u="none"/>
          </a:p>
        </c:rich>
      </c:tx>
      <c:layout>
        <c:manualLayout>
          <c:xMode val="edge"/>
          <c:yMode val="edge"/>
          <c:x val="0.38762639152864514"/>
          <c:y val="4.0230637728216764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45777898452349E-2"/>
          <c:y val="0.17212875764393401"/>
          <c:w val="0.83057272151325912"/>
          <c:h val="0.65515775032412882"/>
        </c:manualLayout>
      </c:layout>
      <c:bar3DChart>
        <c:barDir val="col"/>
        <c:grouping val="stacked"/>
        <c:varyColors val="0"/>
        <c:ser>
          <c:idx val="0"/>
          <c:order val="0"/>
          <c:tx>
            <c:strRef>
              <c:f>'Monthy Sales'!$B$2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'Monthy Sales'!$A$3:$A$18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'Monthy Sales'!$B$3:$B$18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extLst>
            <c:ext xmlns:c16="http://schemas.microsoft.com/office/drawing/2014/chart" uri="{C3380CC4-5D6E-409C-BE32-E72D297353CC}">
              <c16:uniqueId val="{00000000-FD27-4807-8E0F-3CCC8E86B12E}"/>
            </c:ext>
          </c:extLst>
        </c:ser>
        <c:dLbls>
          <c:showLegendKey val="0"/>
          <c:showVal val="0"/>
          <c:showCatName val="0"/>
          <c:showSerName val="0"/>
          <c:showPercent val="0"/>
          <c:showBubbleSize val="0"/>
        </c:dLbls>
        <c:gapWidth val="150"/>
        <c:shape val="box"/>
        <c:axId val="186798320"/>
        <c:axId val="186783440"/>
        <c:axId val="0"/>
      </c:bar3DChart>
      <c:catAx>
        <c:axId val="1867983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6783440"/>
        <c:crosses val="autoZero"/>
        <c:auto val="1"/>
        <c:lblAlgn val="ctr"/>
        <c:lblOffset val="100"/>
        <c:noMultiLvlLbl val="0"/>
      </c:catAx>
      <c:valAx>
        <c:axId val="18678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679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Data.xlsx]Monthy Sales!PivotTable6</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'Monthy Sales'!$B$2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'Monthy Sales'!$A$3:$A$18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'Monthy Sales'!$B$3:$B$18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C17C-478B-AC67-564258DDFC7A}"/>
            </c:ext>
          </c:extLst>
        </c:ser>
        <c:dLbls>
          <c:showLegendKey val="0"/>
          <c:showVal val="0"/>
          <c:showCatName val="0"/>
          <c:showSerName val="0"/>
          <c:showPercent val="0"/>
          <c:showBubbleSize val="0"/>
        </c:dLbls>
        <c:marker val="1"/>
        <c:smooth val="0"/>
        <c:axId val="1328563424"/>
        <c:axId val="1328561984"/>
      </c:lineChart>
      <c:catAx>
        <c:axId val="1328563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8561984"/>
        <c:crosses val="autoZero"/>
        <c:auto val="1"/>
        <c:lblAlgn val="ctr"/>
        <c:lblOffset val="100"/>
        <c:noMultiLvlLbl val="0"/>
      </c:catAx>
      <c:valAx>
        <c:axId val="132856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856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Data.xlsx]Total Sales!PivotTable7</c:name>
    <c:fmtId val="0"/>
  </c:pivotSource>
  <c:chart>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Sales'!$B$2:$B$3</c:f>
              <c:strCache>
                <c:ptCount val="1"/>
                <c:pt idx="0">
                  <c:v>Central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Sales'!$B$4:$B$9</c:f>
              <c:numCache>
                <c:formatCode>General</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0-213B-499D-94A2-0A83959368C8}"/>
            </c:ext>
          </c:extLst>
        </c:ser>
        <c:ser>
          <c:idx val="1"/>
          <c:order val="1"/>
          <c:tx>
            <c:strRef>
              <c:f>'Total Sales'!$C$2:$C$3</c:f>
              <c:strCache>
                <c:ptCount val="1"/>
                <c:pt idx="0">
                  <c:v>East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Sales'!$C$4:$C$9</c:f>
              <c:numCache>
                <c:formatCode>General</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1D-7011-4A12-961C-AD0B02299BF9}"/>
            </c:ext>
          </c:extLst>
        </c:ser>
        <c:ser>
          <c:idx val="2"/>
          <c:order val="2"/>
          <c:tx>
            <c:strRef>
              <c:f>'Total Sales'!$D$2:$D$3</c:f>
              <c:strCache>
                <c:ptCount val="1"/>
                <c:pt idx="0">
                  <c:v>North</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Sales'!$D$4:$D$9</c:f>
              <c:numCache>
                <c:formatCode>General</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1E-7011-4A12-961C-AD0B02299BF9}"/>
            </c:ext>
          </c:extLst>
        </c:ser>
        <c:ser>
          <c:idx val="3"/>
          <c:order val="3"/>
          <c:tx>
            <c:strRef>
              <c:f>'Total Sales'!$E$2:$E$3</c:f>
              <c:strCache>
                <c:ptCount val="1"/>
                <c:pt idx="0">
                  <c:v>South</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Sales'!$E$4:$E$9</c:f>
              <c:numCache>
                <c:formatCode>General</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1F-7011-4A12-961C-AD0B02299BF9}"/>
            </c:ext>
          </c:extLst>
        </c:ser>
        <c:ser>
          <c:idx val="4"/>
          <c:order val="4"/>
          <c:tx>
            <c:strRef>
              <c:f>'Total Sales'!$F$2:$F$3</c:f>
              <c:strCache>
                <c:ptCount val="1"/>
                <c:pt idx="0">
                  <c:v>West</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'Total Sales'!$A$4:$A$9</c:f>
              <c:strCache>
                <c:ptCount val="5"/>
                <c:pt idx="0">
                  <c:v>Books</c:v>
                </c:pt>
                <c:pt idx="1">
                  <c:v>Clothing</c:v>
                </c:pt>
                <c:pt idx="2">
                  <c:v>Electronics</c:v>
                </c:pt>
                <c:pt idx="3">
                  <c:v>Furniture</c:v>
                </c:pt>
                <c:pt idx="4">
                  <c:v>Office Supplies</c:v>
                </c:pt>
              </c:strCache>
            </c:strRef>
          </c:cat>
          <c:val>
            <c:numRef>
              <c:f>'Total Sales'!$F$4:$F$9</c:f>
              <c:numCache>
                <c:formatCode>General</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20-7011-4A12-961C-AD0B02299BF9}"/>
            </c:ext>
          </c:extLst>
        </c:ser>
        <c:dLbls>
          <c:showLegendKey val="0"/>
          <c:showVal val="0"/>
          <c:showCatName val="0"/>
          <c:showSerName val="0"/>
          <c:showPercent val="0"/>
          <c:showBubbleSize val="0"/>
        </c:dLbls>
        <c:gapWidth val="355"/>
        <c:overlap val="-70"/>
        <c:axId val="242768048"/>
        <c:axId val="242770928"/>
      </c:barChart>
      <c:catAx>
        <c:axId val="242768048"/>
        <c:scaling>
          <c:orientation val="minMax"/>
        </c:scaling>
        <c:delete val="0"/>
        <c:axPos val="b"/>
        <c:numFmt formatCode="General" sourceLinked="1"/>
        <c:majorTickMark val="none"/>
        <c:minorTickMark val="none"/>
        <c:tickLblPos val="nextTo"/>
        <c:spPr>
          <a:noFill/>
          <a:ln w="12700" cap="flat" cmpd="sng" algn="ctr">
            <a:solidFill>
              <a:schemeClr val="accent4"/>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2770928"/>
        <c:crosses val="autoZero"/>
        <c:auto val="1"/>
        <c:lblAlgn val="ctr"/>
        <c:lblOffset val="100"/>
        <c:noMultiLvlLbl val="0"/>
      </c:catAx>
      <c:valAx>
        <c:axId val="24277092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4276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461086</xdr:colOff>
      <xdr:row>1</xdr:row>
      <xdr:rowOff>114979</xdr:rowOff>
    </xdr:from>
    <xdr:to>
      <xdr:col>2</xdr:col>
      <xdr:colOff>1590675</xdr:colOff>
      <xdr:row>6</xdr:row>
      <xdr:rowOff>69259</xdr:rowOff>
    </xdr:to>
    <xdr:sp macro="" textlink="">
      <xdr:nvSpPr>
        <xdr:cNvPr id="3" name="Rectangle: Rounded Corners 2">
          <a:extLst>
            <a:ext uri="{FF2B5EF4-FFF2-40B4-BE49-F238E27FC236}">
              <a16:creationId xmlns:a16="http://schemas.microsoft.com/office/drawing/2014/main" id="{5D8EAB2F-FD61-0EB5-6555-F7D427543669}"/>
            </a:ext>
          </a:extLst>
        </xdr:cNvPr>
        <xdr:cNvSpPr/>
      </xdr:nvSpPr>
      <xdr:spPr>
        <a:xfrm>
          <a:off x="1070686" y="758446"/>
          <a:ext cx="1739189" cy="894080"/>
        </a:xfrm>
        <a:prstGeom prst="roundRect">
          <a:avLst/>
        </a:prstGeom>
        <a:gradFill>
          <a:gsLst>
            <a:gs pos="100000">
              <a:schemeClr val="accent1">
                <a:lumMod val="40000"/>
                <a:lumOff val="60000"/>
              </a:schemeClr>
            </a:gs>
            <a:gs pos="0">
              <a:schemeClr val="bg1"/>
            </a:gs>
            <a:gs pos="100000">
              <a:schemeClr val="accent1">
                <a:lumMod val="30000"/>
                <a:lumOff val="70000"/>
              </a:schemeClr>
            </a:gs>
          </a:gsLst>
          <a:lin ang="5400000" scaled="1"/>
        </a:gradFill>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tx1"/>
              </a:solidFill>
            </a:rPr>
            <a:t>Total Sales</a:t>
          </a:r>
        </a:p>
        <a:p>
          <a:pPr algn="l"/>
          <a:endParaRPr lang="en-US" sz="600" b="1">
            <a:solidFill>
              <a:schemeClr val="tx1"/>
            </a:solidFill>
            <a:effectLst>
              <a:glow rad="101600">
                <a:schemeClr val="bg1">
                  <a:lumMod val="65000"/>
                  <a:alpha val="60000"/>
                </a:schemeClr>
              </a:glow>
            </a:effectLst>
          </a:endParaRPr>
        </a:p>
        <a:p>
          <a:pPr algn="ctr"/>
          <a:r>
            <a:rPr lang="en-US" sz="1800" b="1" u="none" strike="noStrike">
              <a:solidFill>
                <a:schemeClr val="tx1"/>
              </a:solidFill>
              <a:effectLst/>
              <a:latin typeface="+mn-lt"/>
              <a:ea typeface="+mn-ea"/>
              <a:cs typeface="+mn-cs"/>
            </a:rPr>
            <a:t>      ₹ </a:t>
          </a:r>
          <a:r>
            <a:rPr lang="en-US" sz="1800" b="1">
              <a:solidFill>
                <a:schemeClr val="tx1"/>
              </a:solidFill>
            </a:rPr>
            <a:t>1,95,217</a:t>
          </a:r>
        </a:p>
        <a:p>
          <a:pPr algn="l"/>
          <a:endParaRPr lang="en-US" sz="1100" b="1">
            <a:solidFill>
              <a:schemeClr val="tx1"/>
            </a:solidFill>
          </a:endParaRPr>
        </a:p>
      </xdr:txBody>
    </xdr:sp>
    <xdr:clientData/>
  </xdr:twoCellAnchor>
  <xdr:twoCellAnchor editAs="oneCell">
    <xdr:from>
      <xdr:col>1</xdr:col>
      <xdr:colOff>539266</xdr:colOff>
      <xdr:row>3</xdr:row>
      <xdr:rowOff>105454</xdr:rowOff>
    </xdr:from>
    <xdr:to>
      <xdr:col>2</xdr:col>
      <xdr:colOff>264946</xdr:colOff>
      <xdr:row>5</xdr:row>
      <xdr:rowOff>74973</xdr:rowOff>
    </xdr:to>
    <xdr:pic>
      <xdr:nvPicPr>
        <xdr:cNvPr id="9" name="Graphic 8" descr="Coins with solid fill">
          <a:extLst>
            <a:ext uri="{FF2B5EF4-FFF2-40B4-BE49-F238E27FC236}">
              <a16:creationId xmlns:a16="http://schemas.microsoft.com/office/drawing/2014/main" id="{CB4188C0-78B8-6054-D64B-E9B9A836A8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8866" y="1115104"/>
          <a:ext cx="335280" cy="331469"/>
        </a:xfrm>
        <a:prstGeom prst="rect">
          <a:avLst/>
        </a:prstGeom>
      </xdr:spPr>
    </xdr:pic>
    <xdr:clientData/>
  </xdr:twoCellAnchor>
  <xdr:twoCellAnchor>
    <xdr:from>
      <xdr:col>8</xdr:col>
      <xdr:colOff>216746</xdr:colOff>
      <xdr:row>1</xdr:row>
      <xdr:rowOff>98676</xdr:rowOff>
    </xdr:from>
    <xdr:to>
      <xdr:col>11</xdr:col>
      <xdr:colOff>262759</xdr:colOff>
      <xdr:row>6</xdr:row>
      <xdr:rowOff>52956</xdr:rowOff>
    </xdr:to>
    <xdr:sp macro="" textlink="">
      <xdr:nvSpPr>
        <xdr:cNvPr id="2" name="Rectangle: Rounded Corners 1">
          <a:extLst>
            <a:ext uri="{FF2B5EF4-FFF2-40B4-BE49-F238E27FC236}">
              <a16:creationId xmlns:a16="http://schemas.microsoft.com/office/drawing/2014/main" id="{15CD5EE6-3D5D-4379-BDDE-6FED3F546272}"/>
            </a:ext>
          </a:extLst>
        </xdr:cNvPr>
        <xdr:cNvSpPr/>
      </xdr:nvSpPr>
      <xdr:spPr>
        <a:xfrm>
          <a:off x="6990079" y="742143"/>
          <a:ext cx="1874813" cy="894080"/>
        </a:xfrm>
        <a:prstGeom prst="roundRect">
          <a:avLst/>
        </a:prstGeom>
        <a:gradFill>
          <a:gsLst>
            <a:gs pos="100000">
              <a:schemeClr val="accent2">
                <a:lumMod val="60000"/>
                <a:lumOff val="40000"/>
              </a:schemeClr>
            </a:gs>
            <a:gs pos="0">
              <a:schemeClr val="bg1"/>
            </a:gs>
            <a:gs pos="100000">
              <a:schemeClr val="accent2">
                <a:lumMod val="60000"/>
                <a:lumOff val="40000"/>
              </a:schemeClr>
            </a:gs>
          </a:gsLst>
          <a:lin ang="5400000" scaled="1"/>
        </a:gradFill>
        <a:effectLst>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tx1"/>
              </a:solidFill>
            </a:rPr>
            <a:t>Quantity</a:t>
          </a:r>
          <a:r>
            <a:rPr lang="en-US" sz="1600" b="1" u="sng" baseline="0">
              <a:solidFill>
                <a:schemeClr val="tx1"/>
              </a:solidFill>
            </a:rPr>
            <a:t> Sold</a:t>
          </a:r>
          <a:endParaRPr lang="en-US" sz="1600" b="1" u="sng">
            <a:solidFill>
              <a:schemeClr val="tx1"/>
            </a:solidFill>
          </a:endParaRPr>
        </a:p>
        <a:p>
          <a:pPr algn="l"/>
          <a:endParaRPr lang="en-US" sz="600" b="1">
            <a:solidFill>
              <a:schemeClr val="tx1"/>
            </a:solidFill>
          </a:endParaRPr>
        </a:p>
        <a:p>
          <a:pPr algn="ctr"/>
          <a:r>
            <a:rPr lang="en-US" sz="1800" b="1" u="none" strike="noStrike">
              <a:solidFill>
                <a:schemeClr val="tx1"/>
              </a:solidFill>
              <a:effectLst/>
              <a:latin typeface="+mn-lt"/>
              <a:ea typeface="+mn-ea"/>
              <a:cs typeface="+mn-cs"/>
            </a:rPr>
            <a:t>    1,999</a:t>
          </a:r>
          <a:endParaRPr lang="en-US" sz="1800" b="1">
            <a:solidFill>
              <a:schemeClr val="tx1"/>
            </a:solidFill>
          </a:endParaRPr>
        </a:p>
        <a:p>
          <a:pPr algn="l"/>
          <a:endParaRPr lang="en-US" sz="1100" b="1">
            <a:solidFill>
              <a:schemeClr val="tx1"/>
            </a:solidFill>
          </a:endParaRPr>
        </a:p>
      </xdr:txBody>
    </xdr:sp>
    <xdr:clientData/>
  </xdr:twoCellAnchor>
  <xdr:twoCellAnchor editAs="oneCell">
    <xdr:from>
      <xdr:col>8</xdr:col>
      <xdr:colOff>446047</xdr:colOff>
      <xdr:row>3</xdr:row>
      <xdr:rowOff>95077</xdr:rowOff>
    </xdr:from>
    <xdr:to>
      <xdr:col>9</xdr:col>
      <xdr:colOff>175844</xdr:colOff>
      <xdr:row>5</xdr:row>
      <xdr:rowOff>72216</xdr:rowOff>
    </xdr:to>
    <xdr:pic>
      <xdr:nvPicPr>
        <xdr:cNvPr id="10" name="Graphic 9" descr="Shopping cart with solid fill">
          <a:extLst>
            <a:ext uri="{FF2B5EF4-FFF2-40B4-BE49-F238E27FC236}">
              <a16:creationId xmlns:a16="http://schemas.microsoft.com/office/drawing/2014/main" id="{A736DAA4-8E7B-AC4B-CD8D-2F18E6229D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19380" y="1119544"/>
          <a:ext cx="339397" cy="349672"/>
        </a:xfrm>
        <a:prstGeom prst="rect">
          <a:avLst/>
        </a:prstGeom>
      </xdr:spPr>
    </xdr:pic>
    <xdr:clientData/>
  </xdr:twoCellAnchor>
  <xdr:twoCellAnchor>
    <xdr:from>
      <xdr:col>3</xdr:col>
      <xdr:colOff>332922</xdr:colOff>
      <xdr:row>1</xdr:row>
      <xdr:rowOff>107284</xdr:rowOff>
    </xdr:from>
    <xdr:to>
      <xdr:col>6</xdr:col>
      <xdr:colOff>226242</xdr:colOff>
      <xdr:row>6</xdr:row>
      <xdr:rowOff>61564</xdr:rowOff>
    </xdr:to>
    <xdr:sp macro="" textlink="">
      <xdr:nvSpPr>
        <xdr:cNvPr id="11" name="Rectangle: Rounded Corners 10">
          <a:extLst>
            <a:ext uri="{FF2B5EF4-FFF2-40B4-BE49-F238E27FC236}">
              <a16:creationId xmlns:a16="http://schemas.microsoft.com/office/drawing/2014/main" id="{30D522F4-7CBC-49F4-8E99-E86E29FDD441}"/>
            </a:ext>
          </a:extLst>
        </xdr:cNvPr>
        <xdr:cNvSpPr/>
      </xdr:nvSpPr>
      <xdr:spPr>
        <a:xfrm>
          <a:off x="4057197" y="745459"/>
          <a:ext cx="1722120" cy="868680"/>
        </a:xfrm>
        <a:prstGeom prst="roundRect">
          <a:avLst/>
        </a:prstGeom>
        <a:gradFill>
          <a:gsLst>
            <a:gs pos="100000">
              <a:schemeClr val="accent6">
                <a:lumMod val="40000"/>
                <a:lumOff val="60000"/>
              </a:schemeClr>
            </a:gs>
            <a:gs pos="0">
              <a:schemeClr val="bg1"/>
            </a:gs>
            <a:gs pos="100000">
              <a:schemeClr val="accent6">
                <a:lumMod val="40000"/>
                <a:lumOff val="60000"/>
              </a:schemeClr>
            </a:gs>
            <a:gs pos="100000">
              <a:schemeClr val="accent6">
                <a:lumMod val="40000"/>
                <a:lumOff val="60000"/>
              </a:schemeClr>
            </a:gs>
          </a:gsLst>
          <a:lin ang="5400000" scaled="1"/>
        </a:gradFill>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sng">
              <a:solidFill>
                <a:schemeClr val="tx1"/>
              </a:solidFill>
            </a:rPr>
            <a:t>Total</a:t>
          </a:r>
          <a:r>
            <a:rPr lang="en-US" sz="1600" b="1" u="sng" baseline="0">
              <a:solidFill>
                <a:schemeClr val="tx1"/>
              </a:solidFill>
            </a:rPr>
            <a:t> Profit</a:t>
          </a:r>
          <a:endParaRPr lang="en-US" sz="1600" b="1" u="sng">
            <a:solidFill>
              <a:schemeClr val="tx1"/>
            </a:solidFill>
          </a:endParaRPr>
        </a:p>
        <a:p>
          <a:pPr algn="l"/>
          <a:endParaRPr lang="en-US" sz="600" b="1">
            <a:solidFill>
              <a:schemeClr val="tx1"/>
            </a:solidFill>
          </a:endParaRPr>
        </a:p>
        <a:p>
          <a:pPr algn="ctr"/>
          <a:r>
            <a:rPr lang="en-US" sz="1800" b="1">
              <a:solidFill>
                <a:schemeClr val="tx1"/>
              </a:solidFill>
            </a:rPr>
            <a:t>       ₹ 68,287 </a:t>
          </a:r>
        </a:p>
        <a:p>
          <a:pPr algn="l"/>
          <a:endParaRPr lang="en-US" sz="1100" b="1">
            <a:solidFill>
              <a:schemeClr val="tx1"/>
            </a:solidFill>
          </a:endParaRPr>
        </a:p>
      </xdr:txBody>
    </xdr:sp>
    <xdr:clientData/>
  </xdr:twoCellAnchor>
  <xdr:twoCellAnchor editAs="oneCell">
    <xdr:from>
      <xdr:col>3</xdr:col>
      <xdr:colOff>468329</xdr:colOff>
      <xdr:row>3</xdr:row>
      <xdr:rowOff>74673</xdr:rowOff>
    </xdr:from>
    <xdr:to>
      <xdr:col>4</xdr:col>
      <xdr:colOff>247349</xdr:colOff>
      <xdr:row>5</xdr:row>
      <xdr:rowOff>97532</xdr:rowOff>
    </xdr:to>
    <xdr:pic>
      <xdr:nvPicPr>
        <xdr:cNvPr id="13" name="Graphic 12" descr="Money with solid fill">
          <a:extLst>
            <a:ext uri="{FF2B5EF4-FFF2-40B4-BE49-F238E27FC236}">
              <a16:creationId xmlns:a16="http://schemas.microsoft.com/office/drawing/2014/main" id="{B10A82A3-566E-68FA-E91F-B4CA54E6A84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92604" y="1084323"/>
          <a:ext cx="388620" cy="384809"/>
        </a:xfrm>
        <a:prstGeom prst="rect">
          <a:avLst/>
        </a:prstGeom>
      </xdr:spPr>
    </xdr:pic>
    <xdr:clientData/>
  </xdr:twoCellAnchor>
  <xdr:twoCellAnchor>
    <xdr:from>
      <xdr:col>13</xdr:col>
      <xdr:colOff>51674</xdr:colOff>
      <xdr:row>1</xdr:row>
      <xdr:rowOff>125764</xdr:rowOff>
    </xdr:from>
    <xdr:to>
      <xdr:col>16</xdr:col>
      <xdr:colOff>25399</xdr:colOff>
      <xdr:row>6</xdr:row>
      <xdr:rowOff>80044</xdr:rowOff>
    </xdr:to>
    <xdr:sp macro="" textlink="">
      <xdr:nvSpPr>
        <xdr:cNvPr id="14" name="Rectangle: Rounded Corners 13">
          <a:extLst>
            <a:ext uri="{FF2B5EF4-FFF2-40B4-BE49-F238E27FC236}">
              <a16:creationId xmlns:a16="http://schemas.microsoft.com/office/drawing/2014/main" id="{5886325F-9F76-4474-B937-FBDA203722FC}"/>
            </a:ext>
          </a:extLst>
        </xdr:cNvPr>
        <xdr:cNvSpPr/>
      </xdr:nvSpPr>
      <xdr:spPr>
        <a:xfrm>
          <a:off x="10101607" y="769231"/>
          <a:ext cx="1802525" cy="894080"/>
        </a:xfrm>
        <a:prstGeom prst="roundRect">
          <a:avLst/>
        </a:prstGeom>
        <a:gradFill>
          <a:gsLst>
            <a:gs pos="100000">
              <a:srgbClr val="FFFFC5"/>
            </a:gs>
            <a:gs pos="0">
              <a:schemeClr val="bg1"/>
            </a:gs>
            <a:gs pos="100000">
              <a:srgbClr val="FFFFC5"/>
            </a:gs>
            <a:gs pos="57000">
              <a:srgbClr val="FFFFC5"/>
            </a:gs>
            <a:gs pos="100000">
              <a:srgbClr val="FFFFC5"/>
            </a:gs>
          </a:gsLst>
          <a:lin ang="5400000" scaled="1"/>
        </a:gradFill>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bliqueTopLeft"/>
            <a:lightRig rig="threePt" dir="t"/>
          </a:scene3d>
        </a:bodyPr>
        <a:lstStyle/>
        <a:p>
          <a:pPr algn="l"/>
          <a:r>
            <a:rPr lang="en-US" sz="1600" b="1" u="sng">
              <a:solidFill>
                <a:schemeClr val="tx1"/>
              </a:solidFill>
            </a:rPr>
            <a:t>Average</a:t>
          </a:r>
          <a:r>
            <a:rPr lang="en-US" sz="1600" b="1" u="sng" baseline="0">
              <a:solidFill>
                <a:schemeClr val="tx1"/>
              </a:solidFill>
            </a:rPr>
            <a:t> Discount</a:t>
          </a:r>
          <a:endParaRPr lang="en-US" sz="1600" b="1" u="sng">
            <a:solidFill>
              <a:schemeClr val="tx1"/>
            </a:solidFill>
          </a:endParaRPr>
        </a:p>
        <a:p>
          <a:pPr algn="ctr"/>
          <a:endParaRPr lang="en-US" sz="600" b="1" u="none" strike="noStrike">
            <a:solidFill>
              <a:schemeClr val="tx1"/>
            </a:solidFill>
            <a:effectLst/>
            <a:latin typeface="+mn-lt"/>
            <a:ea typeface="+mn-ea"/>
            <a:cs typeface="+mn-cs"/>
          </a:endParaRPr>
        </a:p>
        <a:p>
          <a:pPr algn="l"/>
          <a:r>
            <a:rPr lang="en-US" sz="1800" b="1" u="none" strike="noStrike">
              <a:solidFill>
                <a:schemeClr val="tx1"/>
              </a:solidFill>
              <a:effectLst/>
              <a:latin typeface="+mn-lt"/>
              <a:ea typeface="+mn-ea"/>
              <a:cs typeface="+mn-cs"/>
            </a:rPr>
            <a:t>            9.73</a:t>
          </a:r>
          <a:r>
            <a:rPr lang="en-US" sz="1800" b="1" u="none" strike="noStrike" baseline="0">
              <a:solidFill>
                <a:schemeClr val="tx1"/>
              </a:solidFill>
              <a:effectLst/>
              <a:latin typeface="+mn-lt"/>
              <a:ea typeface="+mn-ea"/>
              <a:cs typeface="+mn-cs"/>
            </a:rPr>
            <a:t> %</a:t>
          </a:r>
          <a:endParaRPr lang="en-US" sz="1800" b="1">
            <a:solidFill>
              <a:schemeClr val="tx1"/>
            </a:solidFill>
          </a:endParaRPr>
        </a:p>
        <a:p>
          <a:pPr algn="l"/>
          <a:endParaRPr lang="en-US" sz="1100" b="1">
            <a:solidFill>
              <a:schemeClr val="tx1"/>
            </a:solidFill>
          </a:endParaRPr>
        </a:p>
      </xdr:txBody>
    </xdr:sp>
    <xdr:clientData/>
  </xdr:twoCellAnchor>
  <xdr:twoCellAnchor editAs="oneCell">
    <xdr:from>
      <xdr:col>13</xdr:col>
      <xdr:colOff>219108</xdr:colOff>
      <xdr:row>3</xdr:row>
      <xdr:rowOff>141004</xdr:rowOff>
    </xdr:from>
    <xdr:to>
      <xdr:col>13</xdr:col>
      <xdr:colOff>535645</xdr:colOff>
      <xdr:row>5</xdr:row>
      <xdr:rowOff>97094</xdr:rowOff>
    </xdr:to>
    <xdr:pic>
      <xdr:nvPicPr>
        <xdr:cNvPr id="16" name="Graphic 15" descr="Pencil with solid fill">
          <a:extLst>
            <a:ext uri="{FF2B5EF4-FFF2-40B4-BE49-F238E27FC236}">
              <a16:creationId xmlns:a16="http://schemas.microsoft.com/office/drawing/2014/main" id="{28BA4714-667D-8DB4-62BE-3B906BFF053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269041" y="1165471"/>
          <a:ext cx="316537" cy="328623"/>
        </a:xfrm>
        <a:prstGeom prst="rect">
          <a:avLst/>
        </a:prstGeom>
      </xdr:spPr>
    </xdr:pic>
    <xdr:clientData/>
  </xdr:twoCellAnchor>
  <xdr:twoCellAnchor>
    <xdr:from>
      <xdr:col>17</xdr:col>
      <xdr:colOff>475146</xdr:colOff>
      <xdr:row>1</xdr:row>
      <xdr:rowOff>119454</xdr:rowOff>
    </xdr:from>
    <xdr:to>
      <xdr:col>20</xdr:col>
      <xdr:colOff>368466</xdr:colOff>
      <xdr:row>6</xdr:row>
      <xdr:rowOff>73734</xdr:rowOff>
    </xdr:to>
    <xdr:sp macro="" textlink="">
      <xdr:nvSpPr>
        <xdr:cNvPr id="17" name="Rectangle: Rounded Corners 16">
          <a:extLst>
            <a:ext uri="{FF2B5EF4-FFF2-40B4-BE49-F238E27FC236}">
              <a16:creationId xmlns:a16="http://schemas.microsoft.com/office/drawing/2014/main" id="{D9F1035C-6889-4552-B57E-66605DF9F9FC}"/>
            </a:ext>
          </a:extLst>
        </xdr:cNvPr>
        <xdr:cNvSpPr/>
      </xdr:nvSpPr>
      <xdr:spPr>
        <a:xfrm>
          <a:off x="12963479" y="762921"/>
          <a:ext cx="1722120" cy="894080"/>
        </a:xfrm>
        <a:prstGeom prst="roundRect">
          <a:avLst/>
        </a:prstGeom>
        <a:gradFill>
          <a:gsLst>
            <a:gs pos="100000">
              <a:srgbClr val="FFFFC5"/>
            </a:gs>
            <a:gs pos="0">
              <a:schemeClr val="bg1"/>
            </a:gs>
            <a:gs pos="100000">
              <a:srgbClr val="FFFFC5"/>
            </a:gs>
            <a:gs pos="57000">
              <a:srgbClr val="FFFFC5"/>
            </a:gs>
            <a:gs pos="100000">
              <a:srgbClr val="FFFFC5"/>
            </a:gs>
          </a:gsLst>
          <a:lin ang="5400000" scaled="1"/>
        </a:gradFill>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bliqueTopLeft"/>
            <a:lightRig rig="threePt" dir="t"/>
          </a:scene3d>
        </a:bodyPr>
        <a:lstStyle/>
        <a:p>
          <a:pPr algn="l"/>
          <a:r>
            <a:rPr lang="en-US" sz="1600" b="1" u="sng">
              <a:solidFill>
                <a:schemeClr val="tx1"/>
              </a:solidFill>
            </a:rPr>
            <a:t>Total</a:t>
          </a:r>
          <a:r>
            <a:rPr lang="en-US" sz="1600" b="1" u="sng" baseline="0">
              <a:solidFill>
                <a:schemeClr val="tx1"/>
              </a:solidFill>
            </a:rPr>
            <a:t> Months</a:t>
          </a:r>
          <a:endParaRPr lang="en-US" sz="1600" b="1" u="sng">
            <a:solidFill>
              <a:schemeClr val="tx1"/>
            </a:solidFill>
          </a:endParaRPr>
        </a:p>
        <a:p>
          <a:pPr algn="ctr"/>
          <a:endParaRPr lang="en-US" sz="600" b="1" u="sng" strike="noStrike">
            <a:solidFill>
              <a:schemeClr val="tx1"/>
            </a:solidFill>
            <a:effectLst/>
            <a:latin typeface="+mn-lt"/>
            <a:ea typeface="+mn-ea"/>
            <a:cs typeface="+mn-cs"/>
          </a:endParaRPr>
        </a:p>
        <a:p>
          <a:pPr algn="l"/>
          <a:r>
            <a:rPr lang="en-US" sz="1800" b="1" u="none" strike="noStrike">
              <a:solidFill>
                <a:schemeClr val="tx1"/>
              </a:solidFill>
              <a:effectLst/>
              <a:latin typeface="+mn-lt"/>
              <a:ea typeface="+mn-ea"/>
              <a:cs typeface="+mn-cs"/>
            </a:rPr>
            <a:t>               13</a:t>
          </a:r>
          <a:endParaRPr lang="en-US" sz="1800" b="1">
            <a:solidFill>
              <a:schemeClr val="tx1"/>
            </a:solidFill>
          </a:endParaRPr>
        </a:p>
        <a:p>
          <a:pPr algn="l"/>
          <a:endParaRPr lang="en-US" sz="1100" b="1">
            <a:solidFill>
              <a:schemeClr val="tx1"/>
            </a:solidFill>
          </a:endParaRPr>
        </a:p>
      </xdr:txBody>
    </xdr:sp>
    <xdr:clientData/>
  </xdr:twoCellAnchor>
  <xdr:twoCellAnchor editAs="oneCell">
    <xdr:from>
      <xdr:col>18</xdr:col>
      <xdr:colOff>113425</xdr:colOff>
      <xdr:row>3</xdr:row>
      <xdr:rowOff>98499</xdr:rowOff>
    </xdr:from>
    <xdr:to>
      <xdr:col>18</xdr:col>
      <xdr:colOff>486805</xdr:colOff>
      <xdr:row>5</xdr:row>
      <xdr:rowOff>106118</xdr:rowOff>
    </xdr:to>
    <xdr:pic>
      <xdr:nvPicPr>
        <xdr:cNvPr id="19" name="Graphic 18" descr="Daily calendar with solid fill">
          <a:extLst>
            <a:ext uri="{FF2B5EF4-FFF2-40B4-BE49-F238E27FC236}">
              <a16:creationId xmlns:a16="http://schemas.microsoft.com/office/drawing/2014/main" id="{8CAF1804-D458-33D7-DED0-678E5E6C94B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208939" y="1121756"/>
          <a:ext cx="373380" cy="377733"/>
        </a:xfrm>
        <a:prstGeom prst="rect">
          <a:avLst/>
        </a:prstGeom>
      </xdr:spPr>
    </xdr:pic>
    <xdr:clientData/>
  </xdr:twoCellAnchor>
  <xdr:twoCellAnchor>
    <xdr:from>
      <xdr:col>12</xdr:col>
      <xdr:colOff>95252</xdr:colOff>
      <xdr:row>7</xdr:row>
      <xdr:rowOff>95250</xdr:rowOff>
    </xdr:from>
    <xdr:to>
      <xdr:col>22</xdr:col>
      <xdr:colOff>609601</xdr:colOff>
      <xdr:row>29</xdr:row>
      <xdr:rowOff>973667</xdr:rowOff>
    </xdr:to>
    <xdr:graphicFrame macro="">
      <xdr:nvGraphicFramePr>
        <xdr:cNvPr id="23" name="Sales Per Region &amp; Catagory">
          <a:extLst>
            <a:ext uri="{FF2B5EF4-FFF2-40B4-BE49-F238E27FC236}">
              <a16:creationId xmlns:a16="http://schemas.microsoft.com/office/drawing/2014/main" id="{614E2780-F9F2-498C-8D24-DE3D29E51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45720</xdr:colOff>
      <xdr:row>7</xdr:row>
      <xdr:rowOff>91440</xdr:rowOff>
    </xdr:from>
    <xdr:to>
      <xdr:col>2</xdr:col>
      <xdr:colOff>693420</xdr:colOff>
      <xdr:row>19</xdr:row>
      <xdr:rowOff>114300</xdr:rowOff>
    </xdr:to>
    <mc:AlternateContent xmlns:mc="http://schemas.openxmlformats.org/markup-compatibility/2006" xmlns:a14="http://schemas.microsoft.com/office/drawing/2010/main">
      <mc:Choice Requires="a14">
        <xdr:graphicFrame macro="">
          <xdr:nvGraphicFramePr>
            <xdr:cNvPr id="24" name="Product_Category">
              <a:extLst>
                <a:ext uri="{FF2B5EF4-FFF2-40B4-BE49-F238E27FC236}">
                  <a16:creationId xmlns:a16="http://schemas.microsoft.com/office/drawing/2014/main" id="{EF08F072-6769-B0F6-FFCD-CD294469278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45720" y="1851923"/>
              <a:ext cx="1873907" cy="2238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83820</xdr:colOff>
      <xdr:row>30</xdr:row>
      <xdr:rowOff>95251</xdr:rowOff>
    </xdr:from>
    <xdr:to>
      <xdr:col>11</xdr:col>
      <xdr:colOff>754380</xdr:colOff>
      <xdr:row>48</xdr:row>
      <xdr:rowOff>130629</xdr:rowOff>
    </xdr:to>
    <xdr:graphicFrame macro="">
      <xdr:nvGraphicFramePr>
        <xdr:cNvPr id="28" name="Chart 27">
          <a:extLst>
            <a:ext uri="{FF2B5EF4-FFF2-40B4-BE49-F238E27FC236}">
              <a16:creationId xmlns:a16="http://schemas.microsoft.com/office/drawing/2014/main" id="{6CABE82A-DE17-41B2-9779-2135D16DD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51646</xdr:colOff>
      <xdr:row>21</xdr:row>
      <xdr:rowOff>117474</xdr:rowOff>
    </xdr:from>
    <xdr:to>
      <xdr:col>2</xdr:col>
      <xdr:colOff>646006</xdr:colOff>
      <xdr:row>29</xdr:row>
      <xdr:rowOff>903392</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E02AB33D-E80C-1566-DED1-E96C9C16E1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646" y="4366745"/>
              <a:ext cx="1813560" cy="2220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91440</xdr:colOff>
      <xdr:row>30</xdr:row>
      <xdr:rowOff>104775</xdr:rowOff>
    </xdr:from>
    <xdr:to>
      <xdr:col>22</xdr:col>
      <xdr:colOff>609600</xdr:colOff>
      <xdr:row>48</xdr:row>
      <xdr:rowOff>108857</xdr:rowOff>
    </xdr:to>
    <xdr:graphicFrame macro="">
      <xdr:nvGraphicFramePr>
        <xdr:cNvPr id="6" name="Chart 5">
          <a:extLst>
            <a:ext uri="{FF2B5EF4-FFF2-40B4-BE49-F238E27FC236}">
              <a16:creationId xmlns:a16="http://schemas.microsoft.com/office/drawing/2014/main" id="{3E994E62-75A6-484B-98BF-16927E196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56727</xdr:colOff>
      <xdr:row>7</xdr:row>
      <xdr:rowOff>74506</xdr:rowOff>
    </xdr:from>
    <xdr:to>
      <xdr:col>11</xdr:col>
      <xdr:colOff>795867</xdr:colOff>
      <xdr:row>27</xdr:row>
      <xdr:rowOff>59265</xdr:rowOff>
    </xdr:to>
    <xdr:graphicFrame macro="">
      <xdr:nvGraphicFramePr>
        <xdr:cNvPr id="12" name="Chart 11">
          <a:extLst>
            <a:ext uri="{FF2B5EF4-FFF2-40B4-BE49-F238E27FC236}">
              <a16:creationId xmlns:a16="http://schemas.microsoft.com/office/drawing/2014/main" id="{EB33F70D-85BD-446A-BA6E-C7305B150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719666</xdr:colOff>
      <xdr:row>10</xdr:row>
      <xdr:rowOff>127001</xdr:rowOff>
    </xdr:from>
    <xdr:to>
      <xdr:col>2</xdr:col>
      <xdr:colOff>2432473</xdr:colOff>
      <xdr:row>29</xdr:row>
      <xdr:rowOff>347134</xdr:rowOff>
    </xdr:to>
    <mc:AlternateContent xmlns:mc="http://schemas.openxmlformats.org/markup-compatibility/2006" xmlns:a14="http://schemas.microsoft.com/office/drawing/2010/main">
      <mc:Choice Requires="a14">
        <xdr:graphicFrame macro="">
          <xdr:nvGraphicFramePr>
            <xdr:cNvPr id="15" name="Months (Order_Date)">
              <a:extLst>
                <a:ext uri="{FF2B5EF4-FFF2-40B4-BE49-F238E27FC236}">
                  <a16:creationId xmlns:a16="http://schemas.microsoft.com/office/drawing/2014/main" id="{92C01708-57D4-2F03-F46B-991FAD3D7872}"/>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938866" y="2404036"/>
              <a:ext cx="1712807" cy="3626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105624</xdr:colOff>
      <xdr:row>0</xdr:row>
      <xdr:rowOff>70862</xdr:rowOff>
    </xdr:from>
    <xdr:to>
      <xdr:col>22</xdr:col>
      <xdr:colOff>663155</xdr:colOff>
      <xdr:row>0</xdr:row>
      <xdr:rowOff>558297</xdr:rowOff>
    </xdr:to>
    <xdr:sp macro="" textlink="">
      <xdr:nvSpPr>
        <xdr:cNvPr id="18" name="Rectangle: Rounded Corners 17">
          <a:extLst>
            <a:ext uri="{FF2B5EF4-FFF2-40B4-BE49-F238E27FC236}">
              <a16:creationId xmlns:a16="http://schemas.microsoft.com/office/drawing/2014/main" id="{237F3FC4-6666-B10C-0793-DAA483052CF8}"/>
            </a:ext>
          </a:extLst>
        </xdr:cNvPr>
        <xdr:cNvSpPr/>
      </xdr:nvSpPr>
      <xdr:spPr>
        <a:xfrm>
          <a:off x="105624" y="70862"/>
          <a:ext cx="15535064" cy="487435"/>
        </a:xfrm>
        <a:prstGeom prst="roundRect">
          <a:avLst>
            <a:gd name="adj" fmla="val 23083"/>
          </a:avLst>
        </a:prstGeom>
        <a:gradFill flip="none" rotWithShape="1">
          <a:gsLst>
            <a:gs pos="0">
              <a:schemeClr val="accent1">
                <a:lumMod val="5000"/>
                <a:lumOff val="95000"/>
              </a:schemeClr>
            </a:gs>
            <a:gs pos="100000">
              <a:schemeClr val="tx2">
                <a:lumMod val="75000"/>
                <a:lumOff val="25000"/>
              </a:schemeClr>
            </a:gs>
            <a:gs pos="100000">
              <a:schemeClr val="tx2">
                <a:lumMod val="75000"/>
                <a:lumOff val="25000"/>
              </a:schemeClr>
            </a:gs>
            <a:gs pos="100000">
              <a:schemeClr val="tx2">
                <a:lumMod val="75000"/>
                <a:lumOff val="25000"/>
              </a:schemeClr>
            </a:gs>
          </a:gsLst>
          <a:lin ang="5400000" scaled="1"/>
          <a:tileRect/>
        </a:gradFill>
        <a:ln>
          <a:solidFill>
            <a:schemeClr val="bg2">
              <a:lumMod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effectLst>
                <a:glow rad="101600">
                  <a:schemeClr val="tx1">
                    <a:lumMod val="85000"/>
                    <a:lumOff val="15000"/>
                    <a:alpha val="60000"/>
                  </a:schemeClr>
                </a:glow>
              </a:effectLst>
            </a:rPr>
            <a:t>Sales Dashboard</a:t>
          </a:r>
        </a:p>
      </xdr:txBody>
    </xdr:sp>
    <xdr:clientData/>
  </xdr:twoCellAnchor>
  <xdr:twoCellAnchor editAs="oneCell">
    <xdr:from>
      <xdr:col>6</xdr:col>
      <xdr:colOff>352848</xdr:colOff>
      <xdr:row>0</xdr:row>
      <xdr:rowOff>70071</xdr:rowOff>
    </xdr:from>
    <xdr:to>
      <xdr:col>7</xdr:col>
      <xdr:colOff>242490</xdr:colOff>
      <xdr:row>0</xdr:row>
      <xdr:rowOff>569313</xdr:rowOff>
    </xdr:to>
    <xdr:pic>
      <xdr:nvPicPr>
        <xdr:cNvPr id="5" name="Graphic 4" descr="Bar chart with solid fill">
          <a:extLst>
            <a:ext uri="{FF2B5EF4-FFF2-40B4-BE49-F238E27FC236}">
              <a16:creationId xmlns:a16="http://schemas.microsoft.com/office/drawing/2014/main" id="{32F09504-2480-549A-7F43-A93CBB6E049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904562" y="70071"/>
          <a:ext cx="499242" cy="499242"/>
        </a:xfrm>
        <a:prstGeom prst="rect">
          <a:avLst/>
        </a:prstGeom>
        <a:effectLst>
          <a:glow rad="101600">
            <a:schemeClr val="bg2">
              <a:lumMod val="25000"/>
              <a:alpha val="60000"/>
            </a:schemeClr>
          </a:glow>
        </a:effectLst>
      </xdr:spPr>
    </xdr:pic>
    <xdr:clientData/>
  </xdr:twoCellAnchor>
  <xdr:twoCellAnchor editAs="oneCell">
    <xdr:from>
      <xdr:col>3</xdr:col>
      <xdr:colOff>90594</xdr:colOff>
      <xdr:row>27</xdr:row>
      <xdr:rowOff>127000</xdr:rowOff>
    </xdr:from>
    <xdr:to>
      <xdr:col>11</xdr:col>
      <xdr:colOff>761999</xdr:colOff>
      <xdr:row>29</xdr:row>
      <xdr:rowOff>973666</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B7FF7123-E439-D1CB-3916-6679D8B7D06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819912" y="5452035"/>
              <a:ext cx="5548205" cy="12052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xdr:row>
      <xdr:rowOff>13481</xdr:rowOff>
    </xdr:from>
    <xdr:to>
      <xdr:col>11</xdr:col>
      <xdr:colOff>601980</xdr:colOff>
      <xdr:row>17</xdr:row>
      <xdr:rowOff>173501</xdr:rowOff>
    </xdr:to>
    <xdr:graphicFrame macro="">
      <xdr:nvGraphicFramePr>
        <xdr:cNvPr id="2" name="Chart 1">
          <a:extLst>
            <a:ext uri="{FF2B5EF4-FFF2-40B4-BE49-F238E27FC236}">
              <a16:creationId xmlns:a16="http://schemas.microsoft.com/office/drawing/2014/main" id="{B38F4ACE-8B10-1BBD-4CAE-521F5E4D5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7620</xdr:colOff>
      <xdr:row>0</xdr:row>
      <xdr:rowOff>251460</xdr:rowOff>
    </xdr:from>
    <xdr:to>
      <xdr:col>16</xdr:col>
      <xdr:colOff>7620</xdr:colOff>
      <xdr:row>15</xdr:row>
      <xdr:rowOff>175260</xdr:rowOff>
    </xdr:to>
    <xdr:graphicFrame macro="">
      <xdr:nvGraphicFramePr>
        <xdr:cNvPr id="2" name="Chart 1">
          <a:extLst>
            <a:ext uri="{FF2B5EF4-FFF2-40B4-BE49-F238E27FC236}">
              <a16:creationId xmlns:a16="http://schemas.microsoft.com/office/drawing/2014/main" id="{E96F703C-1E65-8853-6397-61C6FDCBF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th D" refreshedDate="46273.63315011574" createdVersion="8" refreshedVersion="8" minRefreshableVersion="3" recordCount="200" xr:uid="{D9ECD027-F163-4D4B-A068-FCA315C9C74B}">
  <cacheSource type="worksheet">
    <worksheetSource name="data"/>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164">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5">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164">
      <sharedItems containsSemiMixedTypes="0" containsString="0" containsNumber="1" minValue="64.63" maxValue="769.46"/>
    </cacheField>
    <cacheField name="Months (Order_Date)" numFmtId="0" databaseField="0">
      <fieldGroup base="7">
        <rangePr groupBy="months" startDate="2024-04-10T00:00:00" endDate="2025-04-08T00:00:00"/>
        <groupItems count="14">
          <s v="&lt;4/10/2024"/>
          <s v="Jan"/>
          <s v="Feb"/>
          <s v="Mar"/>
          <s v="Apr"/>
          <s v="May"/>
          <s v="Jun"/>
          <s v="Jul"/>
          <s v="Aug"/>
          <s v="Sep"/>
          <s v="Oct"/>
          <s v="Nov"/>
          <s v="Dec"/>
          <s v="&gt;4/8/2025"/>
        </groupItems>
      </fieldGroup>
    </cacheField>
    <cacheField name="Quarters (Order_Date)" numFmtId="0" databaseField="0">
      <fieldGroup base="7">
        <rangePr groupBy="quarters" startDate="2024-04-10T00:00:00" endDate="2025-04-08T00:00:00"/>
        <groupItems count="6">
          <s v="&lt;4/10/2024"/>
          <s v="Qtr1"/>
          <s v="Qtr2"/>
          <s v="Qtr3"/>
          <s v="Qtr4"/>
          <s v="&gt;4/8/2025"/>
        </groupItems>
      </fieldGroup>
    </cacheField>
    <cacheField name="Years (Order_Date)" numFmtId="0" databaseField="0">
      <fieldGroup base="7">
        <rangePr groupBy="years" startDate="2024-04-10T00:00:00" endDate="2025-04-08T00:00:00"/>
        <groupItems count="4">
          <s v="&lt;4/10/2024"/>
          <s v="2024"/>
          <s v="2025"/>
          <s v="&gt;4/8/2025"/>
        </groupItems>
      </fieldGroup>
    </cacheField>
  </cacheFields>
  <extLst>
    <ext xmlns:x14="http://schemas.microsoft.com/office/spreadsheetml/2009/9/main" uri="{725AE2AE-9491-48be-B2B4-4EB974FC3084}">
      <x14:pivotCacheDefinition pivotCacheId="7695378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rth D" refreshedDate="46273.934494328707" createdVersion="8" refreshedVersion="8" minRefreshableVersion="3" recordCount="200" xr:uid="{ED502BF9-DFC5-4CCD-85A3-48B2640269CD}">
  <cacheSource type="worksheet">
    <worksheetSource name="data"/>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acheField>
    <cacheField name="Sales" numFmtId="164">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5">
      <sharedItems containsSemiMixedTypes="0" containsNonDate="0" containsDate="1" containsString="0" minDate="2024-04-10T00:00:00" maxDate="2025-04-08T00:00:00"/>
    </cacheField>
    <cacheField name="Profit" numFmtId="164">
      <sharedItems containsSemiMixedTypes="0" containsString="0" containsNumber="1" minValue="64.63" maxValue="769.46"/>
    </cacheField>
  </cacheFields>
  <extLst>
    <ext xmlns:x14="http://schemas.microsoft.com/office/spreadsheetml/2009/9/main" uri="{725AE2AE-9491-48be-B2B4-4EB974FC3084}">
      <x14:pivotCacheDefinition pivotCacheId="1553447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r>
  <r>
    <s v="CUST012"/>
    <s v="Robert Anderson"/>
    <x v="0"/>
    <x v="1"/>
    <n v="1101.28"/>
    <n v="3"/>
    <n v="0.2"/>
    <x v="1"/>
    <n v="440.51"/>
  </r>
  <r>
    <s v="CUST017"/>
    <s v="James Taylor"/>
    <x v="1"/>
    <x v="0"/>
    <n v="713.34"/>
    <n v="17"/>
    <n v="0"/>
    <x v="2"/>
    <n v="285.33999999999997"/>
  </r>
  <r>
    <s v="CUST005"/>
    <s v="Robert Anderson"/>
    <x v="2"/>
    <x v="2"/>
    <n v="760.93"/>
    <n v="4"/>
    <n v="0.15"/>
    <x v="2"/>
    <n v="161.69999999999999"/>
  </r>
  <r>
    <s v="CUST030"/>
    <s v="James Wilson"/>
    <x v="3"/>
    <x v="0"/>
    <n v="847"/>
    <n v="12"/>
    <n v="0.2"/>
    <x v="3"/>
    <n v="271.04000000000002"/>
  </r>
  <r>
    <s v="CUST007"/>
    <s v="Michael Anderson"/>
    <x v="3"/>
    <x v="3"/>
    <n v="965.64"/>
    <n v="8"/>
    <n v="0.1"/>
    <x v="4"/>
    <n v="304.18"/>
  </r>
  <r>
    <s v="CUST001"/>
    <s v="Linda Wilson"/>
    <x v="0"/>
    <x v="2"/>
    <n v="1317.53"/>
    <n v="12"/>
    <n v="0.05"/>
    <x v="4"/>
    <n v="312.91000000000003"/>
  </r>
  <r>
    <s v="CUST026"/>
    <s v="Mary Davis"/>
    <x v="1"/>
    <x v="3"/>
    <n v="1074.47"/>
    <n v="6"/>
    <n v="0.2"/>
    <x v="5"/>
    <n v="300.85000000000002"/>
  </r>
  <r>
    <s v="CUST009"/>
    <s v="Linda Jackson"/>
    <x v="4"/>
    <x v="0"/>
    <n v="501.54"/>
    <n v="11"/>
    <n v="0.05"/>
    <x v="5"/>
    <n v="190.59"/>
  </r>
  <r>
    <s v="CUST010"/>
    <s v="David Thomas"/>
    <x v="4"/>
    <x v="1"/>
    <n v="737.31"/>
    <n v="2"/>
    <n v="0.05"/>
    <x v="5"/>
    <n v="350.22"/>
  </r>
  <r>
    <s v="CUST014"/>
    <s v="Emma Davis"/>
    <x v="0"/>
    <x v="4"/>
    <n v="1572.82"/>
    <n v="6"/>
    <n v="0.05"/>
    <x v="6"/>
    <n v="672.38"/>
  </r>
  <r>
    <s v="CUST014"/>
    <s v="David Thomas"/>
    <x v="4"/>
    <x v="0"/>
    <n v="1343.13"/>
    <n v="14"/>
    <n v="0.15"/>
    <x v="7"/>
    <n v="456.66"/>
  </r>
  <r>
    <s v="CUST007"/>
    <s v="Michael Anderson"/>
    <x v="4"/>
    <x v="0"/>
    <n v="1191.58"/>
    <n v="14"/>
    <n v="0.05"/>
    <x v="8"/>
    <n v="452.8"/>
  </r>
  <r>
    <s v="CUST023"/>
    <s v="Robert Anderson"/>
    <x v="0"/>
    <x v="3"/>
    <n v="822.28"/>
    <n v="7"/>
    <n v="0.05"/>
    <x v="8"/>
    <n v="273.41000000000003"/>
  </r>
  <r>
    <s v="CUST029"/>
    <s v="David Smith"/>
    <x v="3"/>
    <x v="3"/>
    <n v="521.66999999999996"/>
    <n v="15"/>
    <n v="0.15"/>
    <x v="9"/>
    <n v="155.19999999999999"/>
  </r>
  <r>
    <s v="CUST005"/>
    <s v="Sarah Anderson"/>
    <x v="2"/>
    <x v="2"/>
    <n v="1502.93"/>
    <n v="14"/>
    <n v="0.2"/>
    <x v="10"/>
    <n v="300.58999999999997"/>
  </r>
  <r>
    <s v="CUST008"/>
    <s v="Robert Anderson"/>
    <x v="2"/>
    <x v="0"/>
    <n v="877.58"/>
    <n v="10"/>
    <n v="0.15"/>
    <x v="11"/>
    <n v="298.38"/>
  </r>
  <r>
    <s v="CUST001"/>
    <s v="Lisa Thomas"/>
    <x v="0"/>
    <x v="0"/>
    <n v="636.70000000000005"/>
    <n v="4"/>
    <n v="0.2"/>
    <x v="11"/>
    <n v="203.74"/>
  </r>
  <r>
    <s v="CUST006"/>
    <s v="Mary Jackson"/>
    <x v="0"/>
    <x v="0"/>
    <n v="1506.14"/>
    <n v="13"/>
    <n v="0.2"/>
    <x v="12"/>
    <n v="481.96"/>
  </r>
  <r>
    <s v="CUST026"/>
    <s v="Mary Davis"/>
    <x v="4"/>
    <x v="2"/>
    <n v="645.02"/>
    <n v="4"/>
    <n v="0"/>
    <x v="13"/>
    <n v="161.26"/>
  </r>
  <r>
    <s v="CUST007"/>
    <s v="Lisa Davis"/>
    <x v="2"/>
    <x v="1"/>
    <n v="953.3"/>
    <n v="11"/>
    <n v="0"/>
    <x v="14"/>
    <n v="476.65"/>
  </r>
  <r>
    <s v="CUST022"/>
    <s v="Robert Anderson"/>
    <x v="3"/>
    <x v="2"/>
    <n v="388.56"/>
    <n v="14"/>
    <n v="0.15"/>
    <x v="15"/>
    <n v="82.57"/>
  </r>
  <r>
    <s v="CUST019"/>
    <s v="Mary Davis"/>
    <x v="0"/>
    <x v="0"/>
    <n v="743.17"/>
    <n v="9"/>
    <n v="0"/>
    <x v="15"/>
    <n v="297.27"/>
  </r>
  <r>
    <s v="CUST023"/>
    <s v="Mary Davis"/>
    <x v="4"/>
    <x v="2"/>
    <n v="706.37"/>
    <n v="6"/>
    <n v="0"/>
    <x v="15"/>
    <n v="176.59"/>
  </r>
  <r>
    <s v="CUST012"/>
    <s v="Mary Davis"/>
    <x v="4"/>
    <x v="4"/>
    <n v="925.31"/>
    <n v="8"/>
    <n v="0.1"/>
    <x v="16"/>
    <n v="374.75"/>
  </r>
  <r>
    <s v="CUST010"/>
    <s v="Linda Brown"/>
    <x v="2"/>
    <x v="2"/>
    <n v="1173.1199999999999"/>
    <n v="18"/>
    <n v="0"/>
    <x v="16"/>
    <n v="293.27999999999997"/>
  </r>
  <r>
    <s v="CUST030"/>
    <s v="John Brown"/>
    <x v="3"/>
    <x v="3"/>
    <n v="675.54"/>
    <n v="17"/>
    <n v="0"/>
    <x v="17"/>
    <n v="236.44"/>
  </r>
  <r>
    <s v="CUST007"/>
    <s v="Robert Anderson"/>
    <x v="4"/>
    <x v="0"/>
    <n v="939.09"/>
    <n v="2"/>
    <n v="0.05"/>
    <x v="18"/>
    <n v="356.85"/>
  </r>
  <r>
    <s v="CUST028"/>
    <s v="Linda Taylor"/>
    <x v="1"/>
    <x v="4"/>
    <n v="983.34"/>
    <n v="19"/>
    <n v="0.1"/>
    <x v="19"/>
    <n v="398.25"/>
  </r>
  <r>
    <s v="CUST028"/>
    <s v="James Wilson"/>
    <x v="2"/>
    <x v="2"/>
    <n v="801.21"/>
    <n v="3"/>
    <n v="0.2"/>
    <x v="19"/>
    <n v="160.24"/>
  </r>
  <r>
    <s v="CUST025"/>
    <s v="David Brown"/>
    <x v="3"/>
    <x v="2"/>
    <n v="1450.71"/>
    <n v="5"/>
    <n v="0.1"/>
    <x v="20"/>
    <n v="326.41000000000003"/>
  </r>
  <r>
    <s v="CUST022"/>
    <s v="David Davis"/>
    <x v="4"/>
    <x v="0"/>
    <n v="1023.21"/>
    <n v="18"/>
    <n v="0.05"/>
    <x v="21"/>
    <n v="388.82"/>
  </r>
  <r>
    <s v="CUST001"/>
    <s v="Mary Jackson"/>
    <x v="0"/>
    <x v="3"/>
    <n v="853.72"/>
    <n v="5"/>
    <n v="0.15"/>
    <x v="21"/>
    <n v="253.98"/>
  </r>
  <r>
    <s v="CUST021"/>
    <s v="Sarah Anderson"/>
    <x v="2"/>
    <x v="2"/>
    <n v="967.89"/>
    <n v="10"/>
    <n v="0.1"/>
    <x v="22"/>
    <n v="217.78"/>
  </r>
  <r>
    <s v="CUST015"/>
    <s v="Linda Taylor"/>
    <x v="3"/>
    <x v="4"/>
    <n v="1200.9000000000001"/>
    <n v="14"/>
    <n v="0.05"/>
    <x v="22"/>
    <n v="513.38"/>
  </r>
  <r>
    <s v="CUST012"/>
    <s v="Michael Anderson"/>
    <x v="0"/>
    <x v="0"/>
    <n v="472.38"/>
    <n v="12"/>
    <n v="0.2"/>
    <x v="22"/>
    <n v="151.16"/>
  </r>
  <r>
    <s v="CUST019"/>
    <s v="David Brown"/>
    <x v="1"/>
    <x v="4"/>
    <n v="840.92"/>
    <n v="9"/>
    <n v="0.05"/>
    <x v="22"/>
    <n v="359.49"/>
  </r>
  <r>
    <s v="CUST028"/>
    <s v="Lisa Davis"/>
    <x v="4"/>
    <x v="3"/>
    <n v="1410.06"/>
    <n v="11"/>
    <n v="0.05"/>
    <x v="23"/>
    <n v="468.84"/>
  </r>
  <r>
    <s v="CUST008"/>
    <s v="Mary Wilson"/>
    <x v="4"/>
    <x v="3"/>
    <n v="773.09"/>
    <n v="13"/>
    <n v="0.15"/>
    <x v="23"/>
    <n v="229.99"/>
  </r>
  <r>
    <s v="CUST016"/>
    <s v="Emma Wilson"/>
    <x v="1"/>
    <x v="0"/>
    <n v="580.42999999999995"/>
    <n v="19"/>
    <n v="0.15"/>
    <x v="24"/>
    <n v="197.35"/>
  </r>
  <r>
    <s v="CUST005"/>
    <s v="David Smith"/>
    <x v="2"/>
    <x v="0"/>
    <n v="1151.21"/>
    <n v="15"/>
    <n v="0.1"/>
    <x v="25"/>
    <n v="414.44"/>
  </r>
  <r>
    <s v="CUST028"/>
    <s v="James Wilson"/>
    <x v="4"/>
    <x v="4"/>
    <n v="1025.98"/>
    <n v="5"/>
    <n v="0.2"/>
    <x v="26"/>
    <n v="369.35"/>
  </r>
  <r>
    <s v="CUST023"/>
    <s v="David Davis"/>
    <x v="1"/>
    <x v="4"/>
    <n v="556.41999999999996"/>
    <n v="11"/>
    <n v="0.15"/>
    <x v="26"/>
    <n v="212.83"/>
  </r>
  <r>
    <s v="CUST021"/>
    <s v="James Wilson"/>
    <x v="4"/>
    <x v="0"/>
    <n v="840.85"/>
    <n v="19"/>
    <n v="0.1"/>
    <x v="27"/>
    <n v="302.70999999999998"/>
  </r>
  <r>
    <s v="CUST026"/>
    <s v="Emma Wilson"/>
    <x v="3"/>
    <x v="3"/>
    <n v="1227.25"/>
    <n v="12"/>
    <n v="0.15"/>
    <x v="27"/>
    <n v="365.11"/>
  </r>
  <r>
    <s v="CUST017"/>
    <s v="Linda Davis"/>
    <x v="4"/>
    <x v="2"/>
    <n v="856.7"/>
    <n v="2"/>
    <n v="0"/>
    <x v="28"/>
    <n v="214.18"/>
  </r>
  <r>
    <s v="CUST025"/>
    <s v="David Davis"/>
    <x v="4"/>
    <x v="4"/>
    <n v="1225.42"/>
    <n v="8"/>
    <n v="0.15"/>
    <x v="28"/>
    <n v="468.72"/>
  </r>
  <r>
    <s v="CUST011"/>
    <s v="Mary Davis"/>
    <x v="3"/>
    <x v="4"/>
    <n v="1001.57"/>
    <n v="12"/>
    <n v="0"/>
    <x v="29"/>
    <n v="450.71"/>
  </r>
  <r>
    <s v="CUST021"/>
    <s v="Michael Anderson"/>
    <x v="1"/>
    <x v="3"/>
    <n v="1186.8499999999999"/>
    <n v="19"/>
    <n v="0.2"/>
    <x v="30"/>
    <n v="332.32"/>
  </r>
  <r>
    <s v="CUST008"/>
    <s v="John Brown"/>
    <x v="2"/>
    <x v="2"/>
    <n v="775.45"/>
    <n v="6"/>
    <n v="0.1"/>
    <x v="31"/>
    <n v="174.48"/>
  </r>
  <r>
    <s v="CUST007"/>
    <s v="Linda Jackson"/>
    <x v="2"/>
    <x v="2"/>
    <n v="1021.47"/>
    <n v="6"/>
    <n v="0.05"/>
    <x v="32"/>
    <n v="242.6"/>
  </r>
  <r>
    <s v="CUST015"/>
    <s v="James Wilson"/>
    <x v="2"/>
    <x v="1"/>
    <n v="1226.6199999999999"/>
    <n v="7"/>
    <n v="0.1"/>
    <x v="33"/>
    <n v="551.98"/>
  </r>
  <r>
    <s v="CUST030"/>
    <s v="Sarah Davis"/>
    <x v="2"/>
    <x v="3"/>
    <n v="1086.93"/>
    <n v="2"/>
    <n v="0"/>
    <x v="34"/>
    <n v="380.43"/>
  </r>
  <r>
    <s v="CUST002"/>
    <s v="Lisa Davis"/>
    <x v="0"/>
    <x v="0"/>
    <n v="942.9"/>
    <n v="18"/>
    <n v="0.1"/>
    <x v="35"/>
    <n v="339.44"/>
  </r>
  <r>
    <s v="CUST009"/>
    <s v="Emma Davis"/>
    <x v="3"/>
    <x v="2"/>
    <n v="818.8"/>
    <n v="15"/>
    <n v="0.15"/>
    <x v="36"/>
    <n v="173.99"/>
  </r>
  <r>
    <s v="CUST005"/>
    <s v="Robert Anderson"/>
    <x v="2"/>
    <x v="3"/>
    <n v="919.04"/>
    <n v="10"/>
    <n v="0.2"/>
    <x v="36"/>
    <n v="257.33"/>
  </r>
  <r>
    <s v="CUST030"/>
    <s v="Emma Taylor"/>
    <x v="4"/>
    <x v="0"/>
    <n v="973.26"/>
    <n v="11"/>
    <n v="0"/>
    <x v="37"/>
    <n v="389.3"/>
  </r>
  <r>
    <s v="CUST029"/>
    <s v="Sarah Davis"/>
    <x v="3"/>
    <x v="2"/>
    <n v="741.61"/>
    <n v="1"/>
    <n v="0.2"/>
    <x v="38"/>
    <n v="148.32"/>
  </r>
  <r>
    <s v="CUST003"/>
    <s v="Emma Davis"/>
    <x v="3"/>
    <x v="0"/>
    <n v="1248.82"/>
    <n v="2"/>
    <n v="0.1"/>
    <x v="39"/>
    <n v="449.58"/>
  </r>
  <r>
    <s v="CUST012"/>
    <s v="Mary Wilson"/>
    <x v="0"/>
    <x v="1"/>
    <n v="1360.36"/>
    <n v="17"/>
    <n v="0"/>
    <x v="39"/>
    <n v="680.18"/>
  </r>
  <r>
    <s v="CUST021"/>
    <s v="Mary Davis"/>
    <x v="1"/>
    <x v="0"/>
    <n v="1383.3"/>
    <n v="8"/>
    <n v="0.1"/>
    <x v="40"/>
    <n v="497.99"/>
  </r>
  <r>
    <s v="CUST010"/>
    <s v="David Brown"/>
    <x v="4"/>
    <x v="4"/>
    <n v="488.99"/>
    <n v="9"/>
    <n v="0"/>
    <x v="41"/>
    <n v="220.05"/>
  </r>
  <r>
    <s v="CUST026"/>
    <s v="Mary Davis"/>
    <x v="1"/>
    <x v="3"/>
    <n v="933.71"/>
    <n v="17"/>
    <n v="0.1"/>
    <x v="42"/>
    <n v="294.12"/>
  </r>
  <r>
    <s v="CUST003"/>
    <s v="James Davis"/>
    <x v="0"/>
    <x v="2"/>
    <n v="1005.53"/>
    <n v="17"/>
    <n v="0.2"/>
    <x v="42"/>
    <n v="201.11"/>
  </r>
  <r>
    <s v="CUST029"/>
    <s v="Emma Wilson"/>
    <x v="2"/>
    <x v="2"/>
    <n v="1100.0999999999999"/>
    <n v="5"/>
    <n v="0.05"/>
    <x v="43"/>
    <n v="261.27"/>
  </r>
  <r>
    <s v="CUST003"/>
    <s v="James Wilson"/>
    <x v="3"/>
    <x v="3"/>
    <n v="1034.7"/>
    <n v="15"/>
    <n v="0.15"/>
    <x v="44"/>
    <n v="307.82"/>
  </r>
  <r>
    <s v="CUST002"/>
    <s v="Mary Davis"/>
    <x v="2"/>
    <x v="0"/>
    <n v="876.44"/>
    <n v="12"/>
    <n v="0.05"/>
    <x v="45"/>
    <n v="333.05"/>
  </r>
  <r>
    <s v="CUST020"/>
    <s v="David Brown"/>
    <x v="0"/>
    <x v="3"/>
    <n v="1371.34"/>
    <n v="5"/>
    <n v="0.05"/>
    <x v="45"/>
    <n v="455.97"/>
  </r>
  <r>
    <s v="CUST021"/>
    <s v="Mary Jackson"/>
    <x v="3"/>
    <x v="2"/>
    <n v="1020.26"/>
    <n v="11"/>
    <n v="0.05"/>
    <x v="46"/>
    <n v="242.31"/>
  </r>
  <r>
    <s v="CUST008"/>
    <s v="James Davis"/>
    <x v="4"/>
    <x v="4"/>
    <n v="804.81"/>
    <n v="1"/>
    <n v="0.05"/>
    <x v="47"/>
    <n v="344.06"/>
  </r>
  <r>
    <s v="CUST030"/>
    <s v="David Brown"/>
    <x v="4"/>
    <x v="2"/>
    <n v="608.66"/>
    <n v="1"/>
    <n v="0.05"/>
    <x v="48"/>
    <n v="144.56"/>
  </r>
  <r>
    <s v="CUST020"/>
    <s v="Linda Moore"/>
    <x v="2"/>
    <x v="4"/>
    <n v="981.2"/>
    <n v="19"/>
    <n v="0"/>
    <x v="49"/>
    <n v="441.54"/>
  </r>
  <r>
    <s v="CUST024"/>
    <s v="David Brown"/>
    <x v="1"/>
    <x v="2"/>
    <n v="539.77"/>
    <n v="10"/>
    <n v="0.15"/>
    <x v="50"/>
    <n v="114.7"/>
  </r>
  <r>
    <s v="CUST012"/>
    <s v="David Anderson"/>
    <x v="2"/>
    <x v="0"/>
    <n v="804.45"/>
    <n v="5"/>
    <n v="0.2"/>
    <x v="50"/>
    <n v="257.42"/>
  </r>
  <r>
    <s v="CUST024"/>
    <s v="Emma Davis"/>
    <x v="0"/>
    <x v="2"/>
    <n v="1526.6"/>
    <n v="13"/>
    <n v="0.2"/>
    <x v="51"/>
    <n v="305.32"/>
  </r>
  <r>
    <s v="CUST012"/>
    <s v="Linda Wilson"/>
    <x v="0"/>
    <x v="2"/>
    <n v="1215.26"/>
    <n v="5"/>
    <n v="0.15"/>
    <x v="52"/>
    <n v="258.24"/>
  </r>
  <r>
    <s v="CUST005"/>
    <s v="Linda Taylor"/>
    <x v="4"/>
    <x v="3"/>
    <n v="1261.3399999999999"/>
    <n v="3"/>
    <n v="0"/>
    <x v="53"/>
    <n v="441.47"/>
  </r>
  <r>
    <s v="CUST004"/>
    <s v="Lisa Thomas"/>
    <x v="3"/>
    <x v="3"/>
    <n v="518.07000000000005"/>
    <n v="7"/>
    <n v="0.05"/>
    <x v="54"/>
    <n v="172.26"/>
  </r>
  <r>
    <s v="CUST026"/>
    <s v="Linda Wilson"/>
    <x v="0"/>
    <x v="4"/>
    <n v="1111.3399999999999"/>
    <n v="1"/>
    <n v="0"/>
    <x v="55"/>
    <n v="500.1"/>
  </r>
  <r>
    <s v="CUST030"/>
    <s v="Mary Davis"/>
    <x v="1"/>
    <x v="1"/>
    <n v="1291.47"/>
    <n v="18"/>
    <n v="0.1"/>
    <x v="56"/>
    <n v="581.16"/>
  </r>
  <r>
    <s v="CUST007"/>
    <s v="David Brown"/>
    <x v="3"/>
    <x v="0"/>
    <n v="679.71"/>
    <n v="19"/>
    <n v="0"/>
    <x v="57"/>
    <n v="271.88"/>
  </r>
  <r>
    <s v="CUST020"/>
    <s v="Linda Jackson"/>
    <x v="1"/>
    <x v="3"/>
    <n v="1143.69"/>
    <n v="17"/>
    <n v="0"/>
    <x v="57"/>
    <n v="400.29"/>
  </r>
  <r>
    <s v="CUST028"/>
    <s v="Linda Brown"/>
    <x v="4"/>
    <x v="2"/>
    <n v="790.08"/>
    <n v="7"/>
    <n v="0.1"/>
    <x v="58"/>
    <n v="177.77"/>
  </r>
  <r>
    <s v="CUST005"/>
    <s v="Lisa Davis"/>
    <x v="4"/>
    <x v="0"/>
    <n v="1070.68"/>
    <n v="7"/>
    <n v="0.05"/>
    <x v="58"/>
    <n v="406.86"/>
  </r>
  <r>
    <s v="CUST015"/>
    <s v="David Thomas"/>
    <x v="0"/>
    <x v="1"/>
    <n v="1168.8900000000001"/>
    <n v="4"/>
    <n v="0.1"/>
    <x v="59"/>
    <n v="526"/>
  </r>
  <r>
    <s v="CUST003"/>
    <s v="James Davis"/>
    <x v="2"/>
    <x v="2"/>
    <n v="1335.87"/>
    <n v="17"/>
    <n v="0"/>
    <x v="59"/>
    <n v="333.97"/>
  </r>
  <r>
    <s v="CUST023"/>
    <s v="David Brown"/>
    <x v="1"/>
    <x v="3"/>
    <n v="873.7"/>
    <n v="9"/>
    <n v="0"/>
    <x v="60"/>
    <n v="305.8"/>
  </r>
  <r>
    <s v="CUST004"/>
    <s v="Sarah Davis"/>
    <x v="0"/>
    <x v="4"/>
    <n v="1443.98"/>
    <n v="19"/>
    <n v="0"/>
    <x v="61"/>
    <n v="649.79"/>
  </r>
  <r>
    <s v="CUST023"/>
    <s v="James Wilson"/>
    <x v="1"/>
    <x v="4"/>
    <n v="1154.33"/>
    <n v="11"/>
    <n v="0.15"/>
    <x v="62"/>
    <n v="441.53"/>
  </r>
  <r>
    <s v="CUST022"/>
    <s v="Linda Brown"/>
    <x v="2"/>
    <x v="0"/>
    <n v="1264.49"/>
    <n v="16"/>
    <n v="0.05"/>
    <x v="62"/>
    <n v="480.51"/>
  </r>
  <r>
    <s v="CUST007"/>
    <s v="Emma Taylor"/>
    <x v="0"/>
    <x v="3"/>
    <n v="1101.55"/>
    <n v="4"/>
    <n v="0.1"/>
    <x v="63"/>
    <n v="346.99"/>
  </r>
  <r>
    <s v="CUST013"/>
    <s v="Robert Anderson"/>
    <x v="2"/>
    <x v="3"/>
    <n v="727.73"/>
    <n v="1"/>
    <n v="0.1"/>
    <x v="64"/>
    <n v="229.23"/>
  </r>
  <r>
    <s v="CUST027"/>
    <s v="Emma Davis"/>
    <x v="1"/>
    <x v="4"/>
    <n v="875.41"/>
    <n v="13"/>
    <n v="0.15"/>
    <x v="64"/>
    <n v="334.84"/>
  </r>
  <r>
    <s v="CUST003"/>
    <s v="James Wilson"/>
    <x v="0"/>
    <x v="2"/>
    <n v="1158.94"/>
    <n v="19"/>
    <n v="0.2"/>
    <x v="65"/>
    <n v="231.79"/>
  </r>
  <r>
    <s v="CUST018"/>
    <s v="Mary Jackson"/>
    <x v="2"/>
    <x v="0"/>
    <n v="966.3"/>
    <n v="2"/>
    <n v="0.15"/>
    <x v="66"/>
    <n v="328.54"/>
  </r>
  <r>
    <s v="CUST020"/>
    <s v="James Taylor"/>
    <x v="2"/>
    <x v="0"/>
    <n v="917.48"/>
    <n v="6"/>
    <n v="0"/>
    <x v="67"/>
    <n v="366.99"/>
  </r>
  <r>
    <s v="CUST029"/>
    <s v="Emma Wilson"/>
    <x v="0"/>
    <x v="3"/>
    <n v="1172.97"/>
    <n v="7"/>
    <n v="0.15"/>
    <x v="68"/>
    <n v="348.96"/>
  </r>
  <r>
    <s v="CUST021"/>
    <s v="James Wilson"/>
    <x v="3"/>
    <x v="1"/>
    <n v="1205.82"/>
    <n v="11"/>
    <n v="0.1"/>
    <x v="68"/>
    <n v="542.62"/>
  </r>
  <r>
    <s v="CUST017"/>
    <s v="Sarah Davis"/>
    <x v="0"/>
    <x v="4"/>
    <n v="826.93"/>
    <n v="10"/>
    <n v="0.2"/>
    <x v="69"/>
    <n v="297.69"/>
  </r>
  <r>
    <s v="CUST003"/>
    <s v="James Wilson"/>
    <x v="4"/>
    <x v="1"/>
    <n v="902.19"/>
    <n v="12"/>
    <n v="0"/>
    <x v="69"/>
    <n v="451.1"/>
  </r>
  <r>
    <s v="CUST027"/>
    <s v="Emma Davis"/>
    <x v="3"/>
    <x v="0"/>
    <n v="585.97"/>
    <n v="17"/>
    <n v="0.1"/>
    <x v="70"/>
    <n v="210.95"/>
  </r>
  <r>
    <s v="CUST016"/>
    <s v="Michael Anderson"/>
    <x v="3"/>
    <x v="1"/>
    <n v="990.19"/>
    <n v="8"/>
    <n v="0.1"/>
    <x v="70"/>
    <n v="445.59"/>
  </r>
  <r>
    <s v="CUST008"/>
    <s v="David Davis"/>
    <x v="4"/>
    <x v="2"/>
    <n v="1014.09"/>
    <n v="13"/>
    <n v="0.2"/>
    <x v="71"/>
    <n v="202.82"/>
  </r>
  <r>
    <s v="CUST012"/>
    <s v="Lisa Davis"/>
    <x v="3"/>
    <x v="2"/>
    <n v="925.29"/>
    <n v="17"/>
    <n v="0"/>
    <x v="72"/>
    <n v="231.32"/>
  </r>
  <r>
    <s v="CUST025"/>
    <s v="Mary Jackson"/>
    <x v="1"/>
    <x v="3"/>
    <n v="1286.54"/>
    <n v="8"/>
    <n v="0"/>
    <x v="73"/>
    <n v="450.29"/>
  </r>
  <r>
    <s v="CUST014"/>
    <s v="Sarah Davis"/>
    <x v="2"/>
    <x v="0"/>
    <n v="961.62"/>
    <n v="8"/>
    <n v="0.2"/>
    <x v="74"/>
    <n v="307.72000000000003"/>
  </r>
  <r>
    <s v="CUST008"/>
    <s v="James Wilson"/>
    <x v="1"/>
    <x v="0"/>
    <n v="1081.1400000000001"/>
    <n v="19"/>
    <n v="0.15"/>
    <x v="74"/>
    <n v="367.59"/>
  </r>
  <r>
    <s v="CUST015"/>
    <s v="James Wilson"/>
    <x v="0"/>
    <x v="1"/>
    <n v="1923.66"/>
    <n v="9"/>
    <n v="0.2"/>
    <x v="75"/>
    <n v="769.46"/>
  </r>
  <r>
    <s v="CUST025"/>
    <s v="Emma Taylor"/>
    <x v="4"/>
    <x v="1"/>
    <n v="728.71"/>
    <n v="14"/>
    <n v="0.1"/>
    <x v="76"/>
    <n v="327.92"/>
  </r>
  <r>
    <s v="CUST019"/>
    <s v="Linda Jackson"/>
    <x v="4"/>
    <x v="1"/>
    <n v="1301.8900000000001"/>
    <n v="7"/>
    <n v="0.15"/>
    <x v="76"/>
    <n v="553.29999999999995"/>
  </r>
  <r>
    <s v="CUST024"/>
    <s v="Emma Taylor"/>
    <x v="1"/>
    <x v="0"/>
    <n v="980.18"/>
    <n v="16"/>
    <n v="0.1"/>
    <x v="77"/>
    <n v="352.86"/>
  </r>
  <r>
    <s v="CUST027"/>
    <s v="James Wilson"/>
    <x v="0"/>
    <x v="1"/>
    <n v="697.57"/>
    <n v="17"/>
    <n v="0.1"/>
    <x v="78"/>
    <n v="313.91000000000003"/>
  </r>
  <r>
    <s v="CUST006"/>
    <s v="David Anderson"/>
    <x v="0"/>
    <x v="3"/>
    <n v="1193.6099999999999"/>
    <n v="1"/>
    <n v="0.15"/>
    <x v="78"/>
    <n v="355.1"/>
  </r>
  <r>
    <s v="CUST009"/>
    <s v="Emma Davis"/>
    <x v="2"/>
    <x v="2"/>
    <n v="771.02"/>
    <n v="1"/>
    <n v="0"/>
    <x v="79"/>
    <n v="192.76"/>
  </r>
  <r>
    <s v="CUST003"/>
    <s v="Linda Moore"/>
    <x v="3"/>
    <x v="1"/>
    <n v="661.09"/>
    <n v="1"/>
    <n v="0.2"/>
    <x v="80"/>
    <n v="264.44"/>
  </r>
  <r>
    <s v="CUST012"/>
    <s v="David Brown"/>
    <x v="0"/>
    <x v="2"/>
    <n v="688.83"/>
    <n v="15"/>
    <n v="0"/>
    <x v="81"/>
    <n v="172.21"/>
  </r>
  <r>
    <s v="CUST013"/>
    <s v="Linda Wilson"/>
    <x v="4"/>
    <x v="0"/>
    <n v="1249.0999999999999"/>
    <n v="4"/>
    <n v="0.05"/>
    <x v="82"/>
    <n v="474.66"/>
  </r>
  <r>
    <s v="CUST008"/>
    <s v="James Wilson"/>
    <x v="1"/>
    <x v="4"/>
    <n v="1014.22"/>
    <n v="14"/>
    <n v="0.05"/>
    <x v="83"/>
    <n v="433.58"/>
  </r>
  <r>
    <s v="CUST025"/>
    <s v="Lisa Davis"/>
    <x v="1"/>
    <x v="0"/>
    <n v="1010.58"/>
    <n v="2"/>
    <n v="0.15"/>
    <x v="84"/>
    <n v="343.6"/>
  </r>
  <r>
    <s v="CUST026"/>
    <s v="Mary Wilson"/>
    <x v="3"/>
    <x v="3"/>
    <n v="957.29"/>
    <n v="4"/>
    <n v="0.05"/>
    <x v="84"/>
    <n v="318.3"/>
  </r>
  <r>
    <s v="CUST001"/>
    <s v="Lisa Thomas"/>
    <x v="3"/>
    <x v="3"/>
    <n v="1077.92"/>
    <n v="3"/>
    <n v="0.05"/>
    <x v="85"/>
    <n v="358.41"/>
  </r>
  <r>
    <s v="CUST028"/>
    <s v="Linda Brown"/>
    <x v="2"/>
    <x v="1"/>
    <n v="1163.01"/>
    <n v="5"/>
    <n v="0"/>
    <x v="86"/>
    <n v="581.5"/>
  </r>
  <r>
    <s v="CUST025"/>
    <s v="Lisa Thomas"/>
    <x v="1"/>
    <x v="4"/>
    <n v="1014.56"/>
    <n v="10"/>
    <n v="0.1"/>
    <x v="87"/>
    <n v="410.9"/>
  </r>
  <r>
    <s v="CUST019"/>
    <s v="James Taylor"/>
    <x v="2"/>
    <x v="2"/>
    <n v="718.04"/>
    <n v="14"/>
    <n v="0"/>
    <x v="88"/>
    <n v="179.51"/>
  </r>
  <r>
    <s v="CUST004"/>
    <s v="James Taylor"/>
    <x v="4"/>
    <x v="1"/>
    <n v="1277.8499999999999"/>
    <n v="18"/>
    <n v="0.2"/>
    <x v="88"/>
    <n v="511.14"/>
  </r>
  <r>
    <s v="CUST024"/>
    <s v="James Wilson"/>
    <x v="3"/>
    <x v="2"/>
    <n v="706.73"/>
    <n v="1"/>
    <n v="0.15"/>
    <x v="88"/>
    <n v="150.18"/>
  </r>
  <r>
    <s v="CUST002"/>
    <s v="Linda Brown"/>
    <x v="1"/>
    <x v="2"/>
    <n v="1410.59"/>
    <n v="15"/>
    <n v="0"/>
    <x v="89"/>
    <n v="352.65"/>
  </r>
  <r>
    <s v="CUST009"/>
    <s v="Emma Wilson"/>
    <x v="2"/>
    <x v="3"/>
    <n v="1350.33"/>
    <n v="10"/>
    <n v="0"/>
    <x v="89"/>
    <n v="472.62"/>
  </r>
  <r>
    <s v="CUST029"/>
    <s v="Lisa Thomas"/>
    <x v="1"/>
    <x v="2"/>
    <n v="919.18"/>
    <n v="4"/>
    <n v="0.15"/>
    <x v="89"/>
    <n v="195.33"/>
  </r>
  <r>
    <s v="CUST027"/>
    <s v="James Wilson"/>
    <x v="0"/>
    <x v="2"/>
    <n v="258.51"/>
    <n v="19"/>
    <n v="0"/>
    <x v="90"/>
    <n v="64.63"/>
  </r>
  <r>
    <s v="CUST011"/>
    <s v="Emma Wilson"/>
    <x v="1"/>
    <x v="0"/>
    <n v="1213.48"/>
    <n v="5"/>
    <n v="0.05"/>
    <x v="90"/>
    <n v="461.12"/>
  </r>
  <r>
    <s v="CUST021"/>
    <s v="Emma Davis"/>
    <x v="4"/>
    <x v="0"/>
    <n v="1150.28"/>
    <n v="8"/>
    <n v="0.05"/>
    <x v="91"/>
    <n v="437.11"/>
  </r>
  <r>
    <s v="CUST014"/>
    <s v="David Anderson"/>
    <x v="2"/>
    <x v="3"/>
    <n v="853.86"/>
    <n v="8"/>
    <n v="0.1"/>
    <x v="91"/>
    <n v="268.97000000000003"/>
  </r>
  <r>
    <s v="CUST018"/>
    <s v="Lisa Thomas"/>
    <x v="2"/>
    <x v="2"/>
    <n v="1061.04"/>
    <n v="1"/>
    <n v="0"/>
    <x v="92"/>
    <n v="265.26"/>
  </r>
  <r>
    <s v="CUST001"/>
    <s v="Sarah Anderson"/>
    <x v="0"/>
    <x v="2"/>
    <n v="894.55"/>
    <n v="19"/>
    <n v="0.2"/>
    <x v="93"/>
    <n v="178.91"/>
  </r>
  <r>
    <s v="CUST007"/>
    <s v="Emma Davis"/>
    <x v="3"/>
    <x v="4"/>
    <n v="833.91"/>
    <n v="3"/>
    <n v="0.05"/>
    <x v="94"/>
    <n v="356.5"/>
  </r>
  <r>
    <s v="CUST015"/>
    <s v="David Anderson"/>
    <x v="0"/>
    <x v="3"/>
    <n v="820.19"/>
    <n v="4"/>
    <n v="0.2"/>
    <x v="95"/>
    <n v="229.65"/>
  </r>
  <r>
    <s v="CUST015"/>
    <s v="Emma Davis"/>
    <x v="4"/>
    <x v="2"/>
    <n v="511.74"/>
    <n v="8"/>
    <n v="0.05"/>
    <x v="96"/>
    <n v="121.54"/>
  </r>
  <r>
    <s v="CUST002"/>
    <s v="Emma Wilson"/>
    <x v="2"/>
    <x v="3"/>
    <n v="806.03"/>
    <n v="19"/>
    <n v="0.05"/>
    <x v="97"/>
    <n v="268"/>
  </r>
  <r>
    <s v="CUST001"/>
    <s v="Michael Anderson"/>
    <x v="4"/>
    <x v="3"/>
    <n v="1432.47"/>
    <n v="16"/>
    <n v="0.15"/>
    <x v="98"/>
    <n v="426.16"/>
  </r>
  <r>
    <s v="CUST027"/>
    <s v="Linda Wilson"/>
    <x v="4"/>
    <x v="2"/>
    <n v="1488.58"/>
    <n v="10"/>
    <n v="0.15"/>
    <x v="98"/>
    <n v="316.32"/>
  </r>
  <r>
    <s v="CUST026"/>
    <s v="Emma Taylor"/>
    <x v="1"/>
    <x v="0"/>
    <n v="1231.26"/>
    <n v="9"/>
    <n v="0"/>
    <x v="99"/>
    <n v="492.5"/>
  </r>
  <r>
    <s v="CUST026"/>
    <s v="Sarah Anderson"/>
    <x v="0"/>
    <x v="2"/>
    <n v="1161.67"/>
    <n v="19"/>
    <n v="0.2"/>
    <x v="100"/>
    <n v="232.33"/>
  </r>
  <r>
    <s v="CUST022"/>
    <s v="Lisa Thomas"/>
    <x v="4"/>
    <x v="4"/>
    <n v="388.23"/>
    <n v="16"/>
    <n v="0.05"/>
    <x v="101"/>
    <n v="165.97"/>
  </r>
  <r>
    <s v="CUST004"/>
    <s v="Mary Davis"/>
    <x v="3"/>
    <x v="1"/>
    <n v="1589.42"/>
    <n v="6"/>
    <n v="0.15"/>
    <x v="102"/>
    <n v="675.5"/>
  </r>
  <r>
    <s v="CUST001"/>
    <s v="David Anderson"/>
    <x v="3"/>
    <x v="1"/>
    <n v="336.66"/>
    <n v="13"/>
    <n v="0.2"/>
    <x v="102"/>
    <n v="134.66"/>
  </r>
  <r>
    <s v="CUST022"/>
    <s v="James Wilson"/>
    <x v="0"/>
    <x v="0"/>
    <n v="1353.79"/>
    <n v="14"/>
    <n v="0.1"/>
    <x v="103"/>
    <n v="487.36"/>
  </r>
  <r>
    <s v="CUST011"/>
    <s v="Linda Moore"/>
    <x v="4"/>
    <x v="1"/>
    <n v="662.61"/>
    <n v="11"/>
    <n v="0.05"/>
    <x v="104"/>
    <n v="314.74"/>
  </r>
  <r>
    <s v="CUST028"/>
    <s v="Lisa Davis"/>
    <x v="3"/>
    <x v="4"/>
    <n v="309.42"/>
    <n v="1"/>
    <n v="0.2"/>
    <x v="104"/>
    <n v="111.39"/>
  </r>
  <r>
    <s v="CUST011"/>
    <s v="Linda Wilson"/>
    <x v="3"/>
    <x v="0"/>
    <n v="884.63"/>
    <n v="18"/>
    <n v="0.1"/>
    <x v="105"/>
    <n v="318.47000000000003"/>
  </r>
  <r>
    <s v="CUST028"/>
    <s v="James Wilson"/>
    <x v="4"/>
    <x v="4"/>
    <n v="745.05"/>
    <n v="10"/>
    <n v="0.1"/>
    <x v="106"/>
    <n v="301.75"/>
  </r>
  <r>
    <s v="CUST016"/>
    <s v="James Taylor"/>
    <x v="2"/>
    <x v="1"/>
    <n v="870.23"/>
    <n v="5"/>
    <n v="0.05"/>
    <x v="106"/>
    <n v="413.36"/>
  </r>
  <r>
    <s v="CUST010"/>
    <s v="Linda Wilson"/>
    <x v="0"/>
    <x v="3"/>
    <n v="862.19"/>
    <n v="18"/>
    <n v="0.05"/>
    <x v="107"/>
    <n v="286.68"/>
  </r>
  <r>
    <s v="CUST013"/>
    <s v="Mary Wilson"/>
    <x v="3"/>
    <x v="1"/>
    <n v="1171.18"/>
    <n v="19"/>
    <n v="0.05"/>
    <x v="108"/>
    <n v="556.30999999999995"/>
  </r>
  <r>
    <s v="CUST015"/>
    <s v="Robert Anderson"/>
    <x v="2"/>
    <x v="3"/>
    <n v="1054.56"/>
    <n v="11"/>
    <n v="0.1"/>
    <x v="109"/>
    <n v="332.19"/>
  </r>
  <r>
    <s v="CUST015"/>
    <s v="James Wilson"/>
    <x v="3"/>
    <x v="2"/>
    <n v="1681.21"/>
    <n v="5"/>
    <n v="0.2"/>
    <x v="110"/>
    <n v="336.24"/>
  </r>
  <r>
    <s v="CUST015"/>
    <s v="David Thomas"/>
    <x v="0"/>
    <x v="1"/>
    <n v="379.77"/>
    <n v="9"/>
    <n v="0.05"/>
    <x v="111"/>
    <n v="180.39"/>
  </r>
  <r>
    <s v="CUST008"/>
    <s v="Lisa Thomas"/>
    <x v="4"/>
    <x v="1"/>
    <n v="1076.33"/>
    <n v="2"/>
    <n v="0.1"/>
    <x v="112"/>
    <n v="484.35"/>
  </r>
  <r>
    <s v="CUST008"/>
    <s v="Mary Davis"/>
    <x v="4"/>
    <x v="4"/>
    <n v="1250.71"/>
    <n v="7"/>
    <n v="0"/>
    <x v="112"/>
    <n v="562.82000000000005"/>
  </r>
  <r>
    <s v="CUST023"/>
    <s v="James Taylor"/>
    <x v="2"/>
    <x v="1"/>
    <n v="1118.3399999999999"/>
    <n v="6"/>
    <n v="0.2"/>
    <x v="112"/>
    <n v="447.34"/>
  </r>
  <r>
    <s v="CUST024"/>
    <s v="Linda Taylor"/>
    <x v="3"/>
    <x v="1"/>
    <n v="1622.62"/>
    <n v="12"/>
    <n v="0.2"/>
    <x v="113"/>
    <n v="649.04999999999995"/>
  </r>
  <r>
    <s v="CUST018"/>
    <s v="Lisa Davis"/>
    <x v="3"/>
    <x v="0"/>
    <n v="640.64"/>
    <n v="11"/>
    <n v="0.2"/>
    <x v="114"/>
    <n v="205"/>
  </r>
  <r>
    <s v="CUST030"/>
    <s v="Sarah Anderson"/>
    <x v="0"/>
    <x v="1"/>
    <n v="585.16"/>
    <n v="17"/>
    <n v="0.1"/>
    <x v="115"/>
    <n v="263.32"/>
  </r>
  <r>
    <s v="CUST030"/>
    <s v="Mary Davis"/>
    <x v="1"/>
    <x v="1"/>
    <n v="1109.98"/>
    <n v="5"/>
    <n v="0.2"/>
    <x v="116"/>
    <n v="443.99"/>
  </r>
  <r>
    <s v="CUST015"/>
    <s v="Lisa Thomas"/>
    <x v="1"/>
    <x v="0"/>
    <n v="1098.08"/>
    <n v="9"/>
    <n v="0.1"/>
    <x v="117"/>
    <n v="395.31"/>
  </r>
  <r>
    <s v="CUST002"/>
    <s v="Lisa Davis"/>
    <x v="0"/>
    <x v="4"/>
    <n v="827.25"/>
    <n v="7"/>
    <n v="0.1"/>
    <x v="118"/>
    <n v="335.04"/>
  </r>
  <r>
    <s v="CUST024"/>
    <s v="Linda Wilson"/>
    <x v="4"/>
    <x v="1"/>
    <n v="741.88"/>
    <n v="16"/>
    <n v="0.1"/>
    <x v="119"/>
    <n v="333.85"/>
  </r>
  <r>
    <s v="CUST004"/>
    <s v="James Davis"/>
    <x v="1"/>
    <x v="4"/>
    <n v="1311.26"/>
    <n v="6"/>
    <n v="0.1"/>
    <x v="120"/>
    <n v="531.05999999999995"/>
  </r>
  <r>
    <s v="CUST004"/>
    <s v="Mary Davis"/>
    <x v="2"/>
    <x v="4"/>
    <n v="573.32000000000005"/>
    <n v="19"/>
    <n v="0.1"/>
    <x v="121"/>
    <n v="232.19"/>
  </r>
  <r>
    <s v="CUST028"/>
    <s v="James Wilson"/>
    <x v="0"/>
    <x v="2"/>
    <n v="1115.22"/>
    <n v="14"/>
    <n v="0.2"/>
    <x v="122"/>
    <n v="223.04"/>
  </r>
  <r>
    <s v="CUST012"/>
    <s v="Lisa Thomas"/>
    <x v="3"/>
    <x v="1"/>
    <n v="845.84"/>
    <n v="4"/>
    <n v="0"/>
    <x v="123"/>
    <n v="422.92"/>
  </r>
  <r>
    <s v="CUST026"/>
    <s v="David Brown"/>
    <x v="0"/>
    <x v="2"/>
    <n v="1029.8"/>
    <n v="3"/>
    <n v="0"/>
    <x v="124"/>
    <n v="257.45"/>
  </r>
  <r>
    <s v="CUST009"/>
    <s v="Mary Davis"/>
    <x v="3"/>
    <x v="0"/>
    <n v="1189.83"/>
    <n v="2"/>
    <n v="0.2"/>
    <x v="125"/>
    <n v="380.75"/>
  </r>
  <r>
    <s v="CUST003"/>
    <s v="Sarah Anderson"/>
    <x v="2"/>
    <x v="0"/>
    <n v="704.28"/>
    <n v="15"/>
    <n v="0.2"/>
    <x v="126"/>
    <n v="225.37"/>
  </r>
  <r>
    <s v="CUST002"/>
    <s v="Mary Jackson"/>
    <x v="4"/>
    <x v="4"/>
    <n v="1618.22"/>
    <n v="12"/>
    <n v="0.2"/>
    <x v="126"/>
    <n v="582.55999999999995"/>
  </r>
  <r>
    <s v="CUST013"/>
    <s v="Linda Taylor"/>
    <x v="4"/>
    <x v="0"/>
    <n v="1014.43"/>
    <n v="2"/>
    <n v="0.15"/>
    <x v="127"/>
    <n v="344.91"/>
  </r>
  <r>
    <s v="CUST018"/>
    <s v="Mary Davis"/>
    <x v="4"/>
    <x v="1"/>
    <n v="826.97"/>
    <n v="18"/>
    <n v="0.2"/>
    <x v="128"/>
    <n v="330.79"/>
  </r>
  <r>
    <s v="CUST017"/>
    <s v="Mary Davis"/>
    <x v="4"/>
    <x v="1"/>
    <n v="1022.23"/>
    <n v="8"/>
    <n v="0.1"/>
    <x v="129"/>
    <n v="460"/>
  </r>
  <r>
    <s v="CUST004"/>
    <s v="Linda Wilson"/>
    <x v="1"/>
    <x v="0"/>
    <n v="1099.69"/>
    <n v="6"/>
    <n v="0"/>
    <x v="130"/>
    <n v="439.88"/>
  </r>
  <r>
    <s v="CUST028"/>
    <s v="Sarah Davis"/>
    <x v="3"/>
    <x v="0"/>
    <n v="710.52"/>
    <n v="8"/>
    <n v="0.1"/>
    <x v="131"/>
    <n v="255.79"/>
  </r>
  <r>
    <s v="CUST028"/>
    <s v="Mary Wilson"/>
    <x v="3"/>
    <x v="0"/>
    <n v="499.18"/>
    <n v="15"/>
    <n v="0.2"/>
    <x v="132"/>
    <n v="159.74"/>
  </r>
  <r>
    <s v="CUST014"/>
    <s v="Emma Davis"/>
    <x v="2"/>
    <x v="0"/>
    <n v="1064.19"/>
    <n v="18"/>
    <n v="0.05"/>
    <x v="133"/>
    <n v="404.39"/>
  </r>
  <r>
    <s v="CUST003"/>
    <s v="Emma Davis"/>
    <x v="1"/>
    <x v="4"/>
    <n v="438.76"/>
    <n v="18"/>
    <n v="0.05"/>
    <x v="134"/>
    <n v="187.57"/>
  </r>
  <r>
    <s v="CUST029"/>
    <s v="David Brown"/>
    <x v="0"/>
    <x v="1"/>
    <n v="864.98"/>
    <n v="2"/>
    <n v="0.05"/>
    <x v="135"/>
    <n v="410.87"/>
  </r>
  <r>
    <s v="CUST021"/>
    <s v="David Brown"/>
    <x v="0"/>
    <x v="3"/>
    <n v="984.93"/>
    <n v="14"/>
    <n v="0.2"/>
    <x v="136"/>
    <n v="275.77999999999997"/>
  </r>
  <r>
    <s v="CUST007"/>
    <s v="David Brown"/>
    <x v="0"/>
    <x v="1"/>
    <n v="1493.49"/>
    <n v="18"/>
    <n v="0"/>
    <x v="137"/>
    <n v="746.74"/>
  </r>
  <r>
    <s v="CUST009"/>
    <s v="Linda Taylor"/>
    <x v="2"/>
    <x v="1"/>
    <n v="689.43"/>
    <n v="9"/>
    <n v="0.1"/>
    <x v="138"/>
    <n v="310.24"/>
  </r>
  <r>
    <s v="CUST023"/>
    <s v="Mary Wilson"/>
    <x v="2"/>
    <x v="1"/>
    <n v="682.24"/>
    <n v="1"/>
    <n v="0"/>
    <x v="139"/>
    <n v="341.12"/>
  </r>
  <r>
    <s v="CUST029"/>
    <s v="Michael Anderson"/>
    <x v="3"/>
    <x v="2"/>
    <n v="458.54"/>
    <n v="15"/>
    <n v="0.2"/>
    <x v="140"/>
    <n v="91.71"/>
  </r>
  <r>
    <s v="CUST009"/>
    <s v="Michael Anderson"/>
    <x v="2"/>
    <x v="3"/>
    <n v="1184.25"/>
    <n v="11"/>
    <n v="0.2"/>
    <x v="141"/>
    <n v="331.59"/>
  </r>
  <r>
    <s v="CUST007"/>
    <s v="James Davis"/>
    <x v="2"/>
    <x v="1"/>
    <n v="762.14"/>
    <n v="9"/>
    <n v="0"/>
    <x v="142"/>
    <n v="381.07"/>
  </r>
  <r>
    <s v="CUST030"/>
    <s v="Linda Taylor"/>
    <x v="3"/>
    <x v="0"/>
    <n v="750.71"/>
    <n v="10"/>
    <n v="0.15"/>
    <x v="142"/>
    <n v="255.24"/>
  </r>
  <r>
    <s v="CUST018"/>
    <s v="David Anderson"/>
    <x v="4"/>
    <x v="1"/>
    <n v="1456.94"/>
    <n v="14"/>
    <n v="0.05"/>
    <x v="143"/>
    <n v="692.05"/>
  </r>
  <r>
    <s v="CUST008"/>
    <s v="Emma Wilson"/>
    <x v="1"/>
    <x v="3"/>
    <n v="1093.3800000000001"/>
    <n v="17"/>
    <n v="0.1"/>
    <x v="143"/>
    <n v="344.41"/>
  </r>
  <r>
    <s v="CUST014"/>
    <s v="Sarah Anderson"/>
    <x v="0"/>
    <x v="1"/>
    <n v="934.27"/>
    <n v="8"/>
    <n v="0.15"/>
    <x v="144"/>
    <n v="397.06"/>
  </r>
  <r>
    <s v="CUST024"/>
    <s v="David Thomas"/>
    <x v="4"/>
    <x v="1"/>
    <n v="1465.35"/>
    <n v="8"/>
    <n v="0.2"/>
    <x v="144"/>
    <n v="586.14"/>
  </r>
  <r>
    <s v="CUST028"/>
    <s v="Robert Anderson"/>
    <x v="2"/>
    <x v="4"/>
    <n v="740.8"/>
    <n v="3"/>
    <n v="0"/>
    <x v="145"/>
    <n v="333.36"/>
  </r>
  <r>
    <s v="CUST015"/>
    <s v="Sarah Anderson"/>
    <x v="0"/>
    <x v="4"/>
    <n v="545.44000000000005"/>
    <n v="17"/>
    <n v="0"/>
    <x v="146"/>
    <n v="245.45"/>
  </r>
  <r>
    <s v="CUST010"/>
    <s v="David Thomas"/>
    <x v="1"/>
    <x v="0"/>
    <n v="997.61"/>
    <n v="8"/>
    <n v="0.05"/>
    <x v="146"/>
    <n v="379.09"/>
  </r>
  <r>
    <s v="CUST016"/>
    <s v="David Thomas"/>
    <x v="2"/>
    <x v="1"/>
    <n v="928.32"/>
    <n v="2"/>
    <n v="0.05"/>
    <x v="147"/>
    <n v="44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s v="Books"/>
    <n v="1036.0899999999999"/>
    <n v="4"/>
    <n v="0.2"/>
    <d v="2024-04-10T00:00:00"/>
    <n v="331.55"/>
  </r>
  <r>
    <s v="CUST012"/>
    <s v="Robert Anderson"/>
    <x v="0"/>
    <s v="Clothing"/>
    <n v="1101.28"/>
    <n v="3"/>
    <n v="0.2"/>
    <d v="2024-04-11T00:00:00"/>
    <n v="440.51"/>
  </r>
  <r>
    <s v="CUST017"/>
    <s v="James Taylor"/>
    <x v="1"/>
    <s v="Books"/>
    <n v="713.34"/>
    <n v="17"/>
    <n v="0"/>
    <d v="2024-04-14T00:00:00"/>
    <n v="285.33999999999997"/>
  </r>
  <r>
    <s v="CUST005"/>
    <s v="Robert Anderson"/>
    <x v="2"/>
    <s v="Electronics"/>
    <n v="760.93"/>
    <n v="4"/>
    <n v="0.15"/>
    <d v="2024-04-14T00:00:00"/>
    <n v="161.69999999999999"/>
  </r>
  <r>
    <s v="CUST030"/>
    <s v="James Wilson"/>
    <x v="3"/>
    <s v="Books"/>
    <n v="847"/>
    <n v="12"/>
    <n v="0.2"/>
    <d v="2024-04-15T00:00:00"/>
    <n v="271.04000000000002"/>
  </r>
  <r>
    <s v="CUST007"/>
    <s v="Michael Anderson"/>
    <x v="3"/>
    <s v="Furniture"/>
    <n v="965.64"/>
    <n v="8"/>
    <n v="0.1"/>
    <d v="2024-04-16T00:00:00"/>
    <n v="304.18"/>
  </r>
  <r>
    <s v="CUST001"/>
    <s v="Linda Wilson"/>
    <x v="0"/>
    <s v="Electronics"/>
    <n v="1317.53"/>
    <n v="12"/>
    <n v="0.05"/>
    <d v="2024-04-16T00:00:00"/>
    <n v="312.91000000000003"/>
  </r>
  <r>
    <s v="CUST026"/>
    <s v="Mary Davis"/>
    <x v="1"/>
    <s v="Furniture"/>
    <n v="1074.47"/>
    <n v="6"/>
    <n v="0.2"/>
    <d v="2024-04-19T00:00:00"/>
    <n v="300.85000000000002"/>
  </r>
  <r>
    <s v="CUST009"/>
    <s v="Linda Jackson"/>
    <x v="4"/>
    <s v="Books"/>
    <n v="501.54"/>
    <n v="11"/>
    <n v="0.05"/>
    <d v="2024-04-19T00:00:00"/>
    <n v="190.59"/>
  </r>
  <r>
    <s v="CUST010"/>
    <s v="David Thomas"/>
    <x v="4"/>
    <s v="Clothing"/>
    <n v="737.31"/>
    <n v="2"/>
    <n v="0.05"/>
    <d v="2024-04-19T00:00:00"/>
    <n v="350.22"/>
  </r>
  <r>
    <s v="CUST014"/>
    <s v="Emma Davis"/>
    <x v="0"/>
    <s v="Office Supplies"/>
    <n v="1572.82"/>
    <n v="6"/>
    <n v="0.05"/>
    <d v="2024-04-20T00:00:00"/>
    <n v="672.38"/>
  </r>
  <r>
    <s v="CUST014"/>
    <s v="David Thomas"/>
    <x v="4"/>
    <s v="Books"/>
    <n v="1343.13"/>
    <n v="14"/>
    <n v="0.15"/>
    <d v="2024-04-22T00:00:00"/>
    <n v="456.66"/>
  </r>
  <r>
    <s v="CUST007"/>
    <s v="Michael Anderson"/>
    <x v="4"/>
    <s v="Books"/>
    <n v="1191.58"/>
    <n v="14"/>
    <n v="0.05"/>
    <d v="2024-04-24T00:00:00"/>
    <n v="452.8"/>
  </r>
  <r>
    <s v="CUST023"/>
    <s v="Robert Anderson"/>
    <x v="0"/>
    <s v="Furniture"/>
    <n v="822.28"/>
    <n v="7"/>
    <n v="0.05"/>
    <d v="2024-04-24T00:00:00"/>
    <n v="273.41000000000003"/>
  </r>
  <r>
    <s v="CUST029"/>
    <s v="David Smith"/>
    <x v="3"/>
    <s v="Furniture"/>
    <n v="521.66999999999996"/>
    <n v="15"/>
    <n v="0.15"/>
    <d v="2024-04-27T00:00:00"/>
    <n v="155.19999999999999"/>
  </r>
  <r>
    <s v="CUST005"/>
    <s v="Sarah Anderson"/>
    <x v="2"/>
    <s v="Electronics"/>
    <n v="1502.93"/>
    <n v="14"/>
    <n v="0.2"/>
    <d v="2024-04-28T00:00:00"/>
    <n v="300.58999999999997"/>
  </r>
  <r>
    <s v="CUST008"/>
    <s v="Robert Anderson"/>
    <x v="2"/>
    <s v="Books"/>
    <n v="877.58"/>
    <n v="10"/>
    <n v="0.15"/>
    <d v="2024-04-29T00:00:00"/>
    <n v="298.38"/>
  </r>
  <r>
    <s v="CUST001"/>
    <s v="Lisa Thomas"/>
    <x v="0"/>
    <s v="Books"/>
    <n v="636.70000000000005"/>
    <n v="4"/>
    <n v="0.2"/>
    <d v="2024-04-29T00:00:00"/>
    <n v="203.74"/>
  </r>
  <r>
    <s v="CUST006"/>
    <s v="Mary Jackson"/>
    <x v="0"/>
    <s v="Books"/>
    <n v="1506.14"/>
    <n v="13"/>
    <n v="0.2"/>
    <d v="2024-04-30T00:00:00"/>
    <n v="481.96"/>
  </r>
  <r>
    <s v="CUST026"/>
    <s v="Mary Davis"/>
    <x v="4"/>
    <s v="Electronics"/>
    <n v="645.02"/>
    <n v="4"/>
    <n v="0"/>
    <d v="2024-05-02T00:00:00"/>
    <n v="161.26"/>
  </r>
  <r>
    <s v="CUST007"/>
    <s v="Lisa Davis"/>
    <x v="2"/>
    <s v="Clothing"/>
    <n v="953.3"/>
    <n v="11"/>
    <n v="0"/>
    <d v="2024-05-03T00:00:00"/>
    <n v="476.65"/>
  </r>
  <r>
    <s v="CUST022"/>
    <s v="Robert Anderson"/>
    <x v="3"/>
    <s v="Electronics"/>
    <n v="388.56"/>
    <n v="14"/>
    <n v="0.15"/>
    <d v="2024-05-04T00:00:00"/>
    <n v="82.57"/>
  </r>
  <r>
    <s v="CUST019"/>
    <s v="Mary Davis"/>
    <x v="0"/>
    <s v="Books"/>
    <n v="743.17"/>
    <n v="9"/>
    <n v="0"/>
    <d v="2024-05-04T00:00:00"/>
    <n v="297.27"/>
  </r>
  <r>
    <s v="CUST023"/>
    <s v="Mary Davis"/>
    <x v="4"/>
    <s v="Electronics"/>
    <n v="706.37"/>
    <n v="6"/>
    <n v="0"/>
    <d v="2024-05-04T00:00:00"/>
    <n v="176.59"/>
  </r>
  <r>
    <s v="CUST012"/>
    <s v="Mary Davis"/>
    <x v="4"/>
    <s v="Office Supplies"/>
    <n v="925.31"/>
    <n v="8"/>
    <n v="0.1"/>
    <d v="2024-05-06T00:00:00"/>
    <n v="374.75"/>
  </r>
  <r>
    <s v="CUST010"/>
    <s v="Linda Brown"/>
    <x v="2"/>
    <s v="Electronics"/>
    <n v="1173.1199999999999"/>
    <n v="18"/>
    <n v="0"/>
    <d v="2024-05-06T00:00:00"/>
    <n v="293.27999999999997"/>
  </r>
  <r>
    <s v="CUST030"/>
    <s v="John Brown"/>
    <x v="3"/>
    <s v="Furniture"/>
    <n v="675.54"/>
    <n v="17"/>
    <n v="0"/>
    <d v="2024-05-08T00:00:00"/>
    <n v="236.44"/>
  </r>
  <r>
    <s v="CUST007"/>
    <s v="Robert Anderson"/>
    <x v="4"/>
    <s v="Books"/>
    <n v="939.09"/>
    <n v="2"/>
    <n v="0.05"/>
    <d v="2024-05-10T00:00:00"/>
    <n v="356.85"/>
  </r>
  <r>
    <s v="CUST028"/>
    <s v="Linda Taylor"/>
    <x v="1"/>
    <s v="Office Supplies"/>
    <n v="983.34"/>
    <n v="19"/>
    <n v="0.1"/>
    <d v="2024-05-14T00:00:00"/>
    <n v="398.25"/>
  </r>
  <r>
    <s v="CUST028"/>
    <s v="James Wilson"/>
    <x v="2"/>
    <s v="Electronics"/>
    <n v="801.21"/>
    <n v="3"/>
    <n v="0.2"/>
    <d v="2024-05-14T00:00:00"/>
    <n v="160.24"/>
  </r>
  <r>
    <s v="CUST025"/>
    <s v="David Brown"/>
    <x v="3"/>
    <s v="Electronics"/>
    <n v="1450.71"/>
    <n v="5"/>
    <n v="0.1"/>
    <d v="2024-05-15T00:00:00"/>
    <n v="326.41000000000003"/>
  </r>
  <r>
    <s v="CUST022"/>
    <s v="David Davis"/>
    <x v="4"/>
    <s v="Books"/>
    <n v="1023.21"/>
    <n v="18"/>
    <n v="0.05"/>
    <d v="2024-05-16T00:00:00"/>
    <n v="388.82"/>
  </r>
  <r>
    <s v="CUST001"/>
    <s v="Mary Jackson"/>
    <x v="0"/>
    <s v="Furniture"/>
    <n v="853.72"/>
    <n v="5"/>
    <n v="0.15"/>
    <d v="2024-05-16T00:00:00"/>
    <n v="253.98"/>
  </r>
  <r>
    <s v="CUST021"/>
    <s v="Sarah Anderson"/>
    <x v="2"/>
    <s v="Electronics"/>
    <n v="967.89"/>
    <n v="10"/>
    <n v="0.1"/>
    <d v="2024-05-17T00:00:00"/>
    <n v="217.78"/>
  </r>
  <r>
    <s v="CUST015"/>
    <s v="Linda Taylor"/>
    <x v="3"/>
    <s v="Office Supplies"/>
    <n v="1200.9000000000001"/>
    <n v="14"/>
    <n v="0.05"/>
    <d v="2024-05-17T00:00:00"/>
    <n v="513.38"/>
  </r>
  <r>
    <s v="CUST012"/>
    <s v="Michael Anderson"/>
    <x v="0"/>
    <s v="Books"/>
    <n v="472.38"/>
    <n v="12"/>
    <n v="0.2"/>
    <d v="2024-05-17T00:00:00"/>
    <n v="151.16"/>
  </r>
  <r>
    <s v="CUST019"/>
    <s v="David Brown"/>
    <x v="1"/>
    <s v="Office Supplies"/>
    <n v="840.92"/>
    <n v="9"/>
    <n v="0.05"/>
    <d v="2024-05-17T00:00:00"/>
    <n v="359.49"/>
  </r>
  <r>
    <s v="CUST028"/>
    <s v="Lisa Davis"/>
    <x v="4"/>
    <s v="Furniture"/>
    <n v="1410.06"/>
    <n v="11"/>
    <n v="0.05"/>
    <d v="2024-05-22T00:00:00"/>
    <n v="468.84"/>
  </r>
  <r>
    <s v="CUST008"/>
    <s v="Mary Wilson"/>
    <x v="4"/>
    <s v="Furniture"/>
    <n v="773.09"/>
    <n v="13"/>
    <n v="0.15"/>
    <d v="2024-05-22T00:00:00"/>
    <n v="229.99"/>
  </r>
  <r>
    <s v="CUST016"/>
    <s v="Emma Wilson"/>
    <x v="1"/>
    <s v="Books"/>
    <n v="580.42999999999995"/>
    <n v="19"/>
    <n v="0.15"/>
    <d v="2024-05-23T00:00:00"/>
    <n v="197.35"/>
  </r>
  <r>
    <s v="CUST005"/>
    <s v="David Smith"/>
    <x v="2"/>
    <s v="Books"/>
    <n v="1151.21"/>
    <n v="15"/>
    <n v="0.1"/>
    <d v="2024-06-02T00:00:00"/>
    <n v="414.44"/>
  </r>
  <r>
    <s v="CUST028"/>
    <s v="James Wilson"/>
    <x v="4"/>
    <s v="Office Supplies"/>
    <n v="1025.98"/>
    <n v="5"/>
    <n v="0.2"/>
    <d v="2024-06-04T00:00:00"/>
    <n v="369.35"/>
  </r>
  <r>
    <s v="CUST023"/>
    <s v="David Davis"/>
    <x v="1"/>
    <s v="Office Supplies"/>
    <n v="556.41999999999996"/>
    <n v="11"/>
    <n v="0.15"/>
    <d v="2024-06-04T00:00:00"/>
    <n v="212.83"/>
  </r>
  <r>
    <s v="CUST021"/>
    <s v="James Wilson"/>
    <x v="4"/>
    <s v="Books"/>
    <n v="840.85"/>
    <n v="19"/>
    <n v="0.1"/>
    <d v="2024-06-05T00:00:00"/>
    <n v="302.70999999999998"/>
  </r>
  <r>
    <s v="CUST026"/>
    <s v="Emma Wilson"/>
    <x v="3"/>
    <s v="Furniture"/>
    <n v="1227.25"/>
    <n v="12"/>
    <n v="0.15"/>
    <d v="2024-06-05T00:00:00"/>
    <n v="365.11"/>
  </r>
  <r>
    <s v="CUST017"/>
    <s v="Linda Davis"/>
    <x v="4"/>
    <s v="Electronics"/>
    <n v="856.7"/>
    <n v="2"/>
    <n v="0"/>
    <d v="2024-06-06T00:00:00"/>
    <n v="214.18"/>
  </r>
  <r>
    <s v="CUST025"/>
    <s v="David Davis"/>
    <x v="4"/>
    <s v="Office Supplies"/>
    <n v="1225.42"/>
    <n v="8"/>
    <n v="0.15"/>
    <d v="2024-06-06T00:00:00"/>
    <n v="468.72"/>
  </r>
  <r>
    <s v="CUST011"/>
    <s v="Mary Davis"/>
    <x v="3"/>
    <s v="Office Supplies"/>
    <n v="1001.57"/>
    <n v="12"/>
    <n v="0"/>
    <d v="2024-06-07T00:00:00"/>
    <n v="450.71"/>
  </r>
  <r>
    <s v="CUST021"/>
    <s v="Michael Anderson"/>
    <x v="1"/>
    <s v="Furniture"/>
    <n v="1186.8499999999999"/>
    <n v="19"/>
    <n v="0.2"/>
    <d v="2024-06-08T00:00:00"/>
    <n v="332.32"/>
  </r>
  <r>
    <s v="CUST008"/>
    <s v="John Brown"/>
    <x v="2"/>
    <s v="Electronics"/>
    <n v="775.45"/>
    <n v="6"/>
    <n v="0.1"/>
    <d v="2024-06-14T00:00:00"/>
    <n v="174.48"/>
  </r>
  <r>
    <s v="CUST007"/>
    <s v="Linda Jackson"/>
    <x v="2"/>
    <s v="Electronics"/>
    <n v="1021.47"/>
    <n v="6"/>
    <n v="0.05"/>
    <d v="2024-06-18T00:00:00"/>
    <n v="242.6"/>
  </r>
  <r>
    <s v="CUST015"/>
    <s v="James Wilson"/>
    <x v="2"/>
    <s v="Clothing"/>
    <n v="1226.6199999999999"/>
    <n v="7"/>
    <n v="0.1"/>
    <d v="2024-06-20T00:00:00"/>
    <n v="551.98"/>
  </r>
  <r>
    <s v="CUST030"/>
    <s v="Sarah Davis"/>
    <x v="2"/>
    <s v="Furniture"/>
    <n v="1086.93"/>
    <n v="2"/>
    <n v="0"/>
    <d v="2024-06-21T00:00:00"/>
    <n v="380.43"/>
  </r>
  <r>
    <s v="CUST002"/>
    <s v="Lisa Davis"/>
    <x v="0"/>
    <s v="Books"/>
    <n v="942.9"/>
    <n v="18"/>
    <n v="0.1"/>
    <d v="2024-06-23T00:00:00"/>
    <n v="339.44"/>
  </r>
  <r>
    <s v="CUST009"/>
    <s v="Emma Davis"/>
    <x v="3"/>
    <s v="Electronics"/>
    <n v="818.8"/>
    <n v="15"/>
    <n v="0.15"/>
    <d v="2024-06-25T00:00:00"/>
    <n v="173.99"/>
  </r>
  <r>
    <s v="CUST005"/>
    <s v="Robert Anderson"/>
    <x v="2"/>
    <s v="Furniture"/>
    <n v="919.04"/>
    <n v="10"/>
    <n v="0.2"/>
    <d v="2024-06-25T00:00:00"/>
    <n v="257.33"/>
  </r>
  <r>
    <s v="CUST030"/>
    <s v="Emma Taylor"/>
    <x v="4"/>
    <s v="Books"/>
    <n v="973.26"/>
    <n v="11"/>
    <n v="0"/>
    <d v="2024-06-27T00:00:00"/>
    <n v="389.3"/>
  </r>
  <r>
    <s v="CUST029"/>
    <s v="Sarah Davis"/>
    <x v="3"/>
    <s v="Electronics"/>
    <n v="741.61"/>
    <n v="1"/>
    <n v="0.2"/>
    <d v="2024-06-28T00:00:00"/>
    <n v="148.32"/>
  </r>
  <r>
    <s v="CUST003"/>
    <s v="Emma Davis"/>
    <x v="3"/>
    <s v="Books"/>
    <n v="1248.82"/>
    <n v="2"/>
    <n v="0.1"/>
    <d v="2024-06-30T00:00:00"/>
    <n v="449.58"/>
  </r>
  <r>
    <s v="CUST012"/>
    <s v="Mary Wilson"/>
    <x v="0"/>
    <s v="Clothing"/>
    <n v="1360.36"/>
    <n v="17"/>
    <n v="0"/>
    <d v="2024-06-30T00:00:00"/>
    <n v="680.18"/>
  </r>
  <r>
    <s v="CUST021"/>
    <s v="Mary Davis"/>
    <x v="1"/>
    <s v="Books"/>
    <n v="1383.3"/>
    <n v="8"/>
    <n v="0.1"/>
    <d v="2024-07-05T00:00:00"/>
    <n v="497.99"/>
  </r>
  <r>
    <s v="CUST010"/>
    <s v="David Brown"/>
    <x v="4"/>
    <s v="Office Supplies"/>
    <n v="488.99"/>
    <n v="9"/>
    <n v="0"/>
    <d v="2024-07-06T00:00:00"/>
    <n v="220.05"/>
  </r>
  <r>
    <s v="CUST026"/>
    <s v="Mary Davis"/>
    <x v="1"/>
    <s v="Furniture"/>
    <n v="933.71"/>
    <n v="17"/>
    <n v="0.1"/>
    <d v="2024-07-08T00:00:00"/>
    <n v="294.12"/>
  </r>
  <r>
    <s v="CUST003"/>
    <s v="James Davis"/>
    <x v="0"/>
    <s v="Electronics"/>
    <n v="1005.53"/>
    <n v="17"/>
    <n v="0.2"/>
    <d v="2024-07-08T00:00:00"/>
    <n v="201.11"/>
  </r>
  <r>
    <s v="CUST029"/>
    <s v="Emma Wilson"/>
    <x v="2"/>
    <s v="Electronics"/>
    <n v="1100.0999999999999"/>
    <n v="5"/>
    <n v="0.05"/>
    <d v="2024-07-09T00:00:00"/>
    <n v="261.27"/>
  </r>
  <r>
    <s v="CUST003"/>
    <s v="James Wilson"/>
    <x v="3"/>
    <s v="Furniture"/>
    <n v="1034.7"/>
    <n v="15"/>
    <n v="0.15"/>
    <d v="2024-07-14T00:00:00"/>
    <n v="307.82"/>
  </r>
  <r>
    <s v="CUST002"/>
    <s v="Mary Davis"/>
    <x v="2"/>
    <s v="Books"/>
    <n v="876.44"/>
    <n v="12"/>
    <n v="0.05"/>
    <d v="2024-07-15T00:00:00"/>
    <n v="333.05"/>
  </r>
  <r>
    <s v="CUST020"/>
    <s v="David Brown"/>
    <x v="0"/>
    <s v="Furniture"/>
    <n v="1371.34"/>
    <n v="5"/>
    <n v="0.05"/>
    <d v="2024-07-15T00:00:00"/>
    <n v="455.97"/>
  </r>
  <r>
    <s v="CUST021"/>
    <s v="Mary Jackson"/>
    <x v="3"/>
    <s v="Electronics"/>
    <n v="1020.26"/>
    <n v="11"/>
    <n v="0.05"/>
    <d v="2024-07-21T00:00:00"/>
    <n v="242.31"/>
  </r>
  <r>
    <s v="CUST008"/>
    <s v="James Davis"/>
    <x v="4"/>
    <s v="Office Supplies"/>
    <n v="804.81"/>
    <n v="1"/>
    <n v="0.05"/>
    <d v="2024-07-29T00:00:00"/>
    <n v="344.06"/>
  </r>
  <r>
    <s v="CUST030"/>
    <s v="David Brown"/>
    <x v="4"/>
    <s v="Electronics"/>
    <n v="608.66"/>
    <n v="1"/>
    <n v="0.05"/>
    <d v="2024-07-30T00:00:00"/>
    <n v="144.56"/>
  </r>
  <r>
    <s v="CUST020"/>
    <s v="Linda Moore"/>
    <x v="2"/>
    <s v="Office Supplies"/>
    <n v="981.2"/>
    <n v="19"/>
    <n v="0"/>
    <d v="2024-07-31T00:00:00"/>
    <n v="441.54"/>
  </r>
  <r>
    <s v="CUST024"/>
    <s v="David Brown"/>
    <x v="1"/>
    <s v="Electronics"/>
    <n v="539.77"/>
    <n v="10"/>
    <n v="0.15"/>
    <d v="2024-08-05T00:00:00"/>
    <n v="114.7"/>
  </r>
  <r>
    <s v="CUST012"/>
    <s v="David Anderson"/>
    <x v="2"/>
    <s v="Books"/>
    <n v="804.45"/>
    <n v="5"/>
    <n v="0.2"/>
    <d v="2024-08-05T00:00:00"/>
    <n v="257.42"/>
  </r>
  <r>
    <s v="CUST024"/>
    <s v="Emma Davis"/>
    <x v="0"/>
    <s v="Electronics"/>
    <n v="1526.6"/>
    <n v="13"/>
    <n v="0.2"/>
    <d v="2024-08-08T00:00:00"/>
    <n v="305.32"/>
  </r>
  <r>
    <s v="CUST012"/>
    <s v="Linda Wilson"/>
    <x v="0"/>
    <s v="Electronics"/>
    <n v="1215.26"/>
    <n v="5"/>
    <n v="0.15"/>
    <d v="2024-08-09T00:00:00"/>
    <n v="258.24"/>
  </r>
  <r>
    <s v="CUST005"/>
    <s v="Linda Taylor"/>
    <x v="4"/>
    <s v="Furniture"/>
    <n v="1261.3399999999999"/>
    <n v="3"/>
    <n v="0"/>
    <d v="2024-08-15T00:00:00"/>
    <n v="441.47"/>
  </r>
  <r>
    <s v="CUST004"/>
    <s v="Lisa Thomas"/>
    <x v="3"/>
    <s v="Furniture"/>
    <n v="518.07000000000005"/>
    <n v="7"/>
    <n v="0.05"/>
    <d v="2024-08-18T00:00:00"/>
    <n v="172.26"/>
  </r>
  <r>
    <s v="CUST026"/>
    <s v="Linda Wilson"/>
    <x v="0"/>
    <s v="Office Supplies"/>
    <n v="1111.3399999999999"/>
    <n v="1"/>
    <n v="0"/>
    <d v="2024-08-19T00:00:00"/>
    <n v="500.1"/>
  </r>
  <r>
    <s v="CUST030"/>
    <s v="Mary Davis"/>
    <x v="1"/>
    <s v="Clothing"/>
    <n v="1291.47"/>
    <n v="18"/>
    <n v="0.1"/>
    <d v="2024-08-22T00:00:00"/>
    <n v="581.16"/>
  </r>
  <r>
    <s v="CUST007"/>
    <s v="David Brown"/>
    <x v="3"/>
    <s v="Books"/>
    <n v="679.71"/>
    <n v="19"/>
    <n v="0"/>
    <d v="2024-08-30T00:00:00"/>
    <n v="271.88"/>
  </r>
  <r>
    <s v="CUST020"/>
    <s v="Linda Jackson"/>
    <x v="1"/>
    <s v="Furniture"/>
    <n v="1143.69"/>
    <n v="17"/>
    <n v="0"/>
    <d v="2024-08-30T00:00:00"/>
    <n v="400.29"/>
  </r>
  <r>
    <s v="CUST028"/>
    <s v="Linda Brown"/>
    <x v="4"/>
    <s v="Electronics"/>
    <n v="790.08"/>
    <n v="7"/>
    <n v="0.1"/>
    <d v="2024-09-01T00:00:00"/>
    <n v="177.77"/>
  </r>
  <r>
    <s v="CUST005"/>
    <s v="Lisa Davis"/>
    <x v="4"/>
    <s v="Books"/>
    <n v="1070.68"/>
    <n v="7"/>
    <n v="0.05"/>
    <d v="2024-09-01T00:00:00"/>
    <n v="406.86"/>
  </r>
  <r>
    <s v="CUST015"/>
    <s v="David Thomas"/>
    <x v="0"/>
    <s v="Clothing"/>
    <n v="1168.8900000000001"/>
    <n v="4"/>
    <n v="0.1"/>
    <d v="2024-09-09T00:00:00"/>
    <n v="526"/>
  </r>
  <r>
    <s v="CUST003"/>
    <s v="James Davis"/>
    <x v="2"/>
    <s v="Electronics"/>
    <n v="1335.87"/>
    <n v="17"/>
    <n v="0"/>
    <d v="2024-09-09T00:00:00"/>
    <n v="333.97"/>
  </r>
  <r>
    <s v="CUST023"/>
    <s v="David Brown"/>
    <x v="1"/>
    <s v="Furniture"/>
    <n v="873.7"/>
    <n v="9"/>
    <n v="0"/>
    <d v="2024-09-11T00:00:00"/>
    <n v="305.8"/>
  </r>
  <r>
    <s v="CUST004"/>
    <s v="Sarah Davis"/>
    <x v="0"/>
    <s v="Office Supplies"/>
    <n v="1443.98"/>
    <n v="19"/>
    <n v="0"/>
    <d v="2024-09-12T00:00:00"/>
    <n v="649.79"/>
  </r>
  <r>
    <s v="CUST023"/>
    <s v="James Wilson"/>
    <x v="1"/>
    <s v="Office Supplies"/>
    <n v="1154.33"/>
    <n v="11"/>
    <n v="0.15"/>
    <d v="2024-09-14T00:00:00"/>
    <n v="441.53"/>
  </r>
  <r>
    <s v="CUST022"/>
    <s v="Linda Brown"/>
    <x v="2"/>
    <s v="Books"/>
    <n v="1264.49"/>
    <n v="16"/>
    <n v="0.05"/>
    <d v="2024-09-14T00:00:00"/>
    <n v="480.51"/>
  </r>
  <r>
    <s v="CUST007"/>
    <s v="Emma Taylor"/>
    <x v="0"/>
    <s v="Furniture"/>
    <n v="1101.55"/>
    <n v="4"/>
    <n v="0.1"/>
    <d v="2024-09-16T00:00:00"/>
    <n v="346.99"/>
  </r>
  <r>
    <s v="CUST013"/>
    <s v="Robert Anderson"/>
    <x v="2"/>
    <s v="Furniture"/>
    <n v="727.73"/>
    <n v="1"/>
    <n v="0.1"/>
    <d v="2024-09-17T00:00:00"/>
    <n v="229.23"/>
  </r>
  <r>
    <s v="CUST027"/>
    <s v="Emma Davis"/>
    <x v="1"/>
    <s v="Office Supplies"/>
    <n v="875.41"/>
    <n v="13"/>
    <n v="0.15"/>
    <d v="2024-09-17T00:00:00"/>
    <n v="334.84"/>
  </r>
  <r>
    <s v="CUST003"/>
    <s v="James Wilson"/>
    <x v="0"/>
    <s v="Electronics"/>
    <n v="1158.94"/>
    <n v="19"/>
    <n v="0.2"/>
    <d v="2024-09-18T00:00:00"/>
    <n v="231.79"/>
  </r>
  <r>
    <s v="CUST018"/>
    <s v="Mary Jackson"/>
    <x v="2"/>
    <s v="Books"/>
    <n v="966.3"/>
    <n v="2"/>
    <n v="0.15"/>
    <d v="2024-09-22T00:00:00"/>
    <n v="328.54"/>
  </r>
  <r>
    <s v="CUST020"/>
    <s v="James Taylor"/>
    <x v="2"/>
    <s v="Books"/>
    <n v="917.48"/>
    <n v="6"/>
    <n v="0"/>
    <d v="2024-09-23T00:00:00"/>
    <n v="366.99"/>
  </r>
  <r>
    <s v="CUST029"/>
    <s v="Emma Wilson"/>
    <x v="0"/>
    <s v="Furniture"/>
    <n v="1172.97"/>
    <n v="7"/>
    <n v="0.15"/>
    <d v="2024-09-24T00:00:00"/>
    <n v="348.96"/>
  </r>
  <r>
    <s v="CUST021"/>
    <s v="James Wilson"/>
    <x v="3"/>
    <s v="Clothing"/>
    <n v="1205.82"/>
    <n v="11"/>
    <n v="0.1"/>
    <d v="2024-09-24T00:00:00"/>
    <n v="542.62"/>
  </r>
  <r>
    <s v="CUST017"/>
    <s v="Sarah Davis"/>
    <x v="0"/>
    <s v="Office Supplies"/>
    <n v="826.93"/>
    <n v="10"/>
    <n v="0.2"/>
    <d v="2024-09-29T00:00:00"/>
    <n v="297.69"/>
  </r>
  <r>
    <s v="CUST003"/>
    <s v="James Wilson"/>
    <x v="4"/>
    <s v="Clothing"/>
    <n v="902.19"/>
    <n v="12"/>
    <n v="0"/>
    <d v="2024-09-29T00:00:00"/>
    <n v="451.1"/>
  </r>
  <r>
    <s v="CUST027"/>
    <s v="Emma Davis"/>
    <x v="3"/>
    <s v="Books"/>
    <n v="585.97"/>
    <n v="17"/>
    <n v="0.1"/>
    <d v="2024-09-30T00:00:00"/>
    <n v="210.95"/>
  </r>
  <r>
    <s v="CUST016"/>
    <s v="Michael Anderson"/>
    <x v="3"/>
    <s v="Clothing"/>
    <n v="990.19"/>
    <n v="8"/>
    <n v="0.1"/>
    <d v="2024-09-30T00:00:00"/>
    <n v="445.59"/>
  </r>
  <r>
    <s v="CUST008"/>
    <s v="David Davis"/>
    <x v="4"/>
    <s v="Electronics"/>
    <n v="1014.09"/>
    <n v="13"/>
    <n v="0.2"/>
    <d v="2024-10-02T00:00:00"/>
    <n v="202.82"/>
  </r>
  <r>
    <s v="CUST012"/>
    <s v="Lisa Davis"/>
    <x v="3"/>
    <s v="Electronics"/>
    <n v="925.29"/>
    <n v="17"/>
    <n v="0"/>
    <d v="2024-10-05T00:00:00"/>
    <n v="231.32"/>
  </r>
  <r>
    <s v="CUST025"/>
    <s v="Mary Jackson"/>
    <x v="1"/>
    <s v="Furniture"/>
    <n v="1286.54"/>
    <n v="8"/>
    <n v="0"/>
    <d v="2024-10-10T00:00:00"/>
    <n v="450.29"/>
  </r>
  <r>
    <s v="CUST014"/>
    <s v="Sarah Davis"/>
    <x v="2"/>
    <s v="Books"/>
    <n v="961.62"/>
    <n v="8"/>
    <n v="0.2"/>
    <d v="2024-10-12T00:00:00"/>
    <n v="307.72000000000003"/>
  </r>
  <r>
    <s v="CUST008"/>
    <s v="James Wilson"/>
    <x v="1"/>
    <s v="Books"/>
    <n v="1081.1400000000001"/>
    <n v="19"/>
    <n v="0.15"/>
    <d v="2024-10-12T00:00:00"/>
    <n v="367.59"/>
  </r>
  <r>
    <s v="CUST015"/>
    <s v="James Wilson"/>
    <x v="0"/>
    <s v="Clothing"/>
    <n v="1923.66"/>
    <n v="9"/>
    <n v="0.2"/>
    <d v="2024-10-15T00:00:00"/>
    <n v="769.46"/>
  </r>
  <r>
    <s v="CUST025"/>
    <s v="Emma Taylor"/>
    <x v="4"/>
    <s v="Clothing"/>
    <n v="728.71"/>
    <n v="14"/>
    <n v="0.1"/>
    <d v="2024-10-16T00:00:00"/>
    <n v="327.92"/>
  </r>
  <r>
    <s v="CUST019"/>
    <s v="Linda Jackson"/>
    <x v="4"/>
    <s v="Clothing"/>
    <n v="1301.8900000000001"/>
    <n v="7"/>
    <n v="0.15"/>
    <d v="2024-10-16T00:00:00"/>
    <n v="553.29999999999995"/>
  </r>
  <r>
    <s v="CUST024"/>
    <s v="Emma Taylor"/>
    <x v="1"/>
    <s v="Books"/>
    <n v="980.18"/>
    <n v="16"/>
    <n v="0.1"/>
    <d v="2024-10-17T00:00:00"/>
    <n v="352.86"/>
  </r>
  <r>
    <s v="CUST027"/>
    <s v="James Wilson"/>
    <x v="0"/>
    <s v="Clothing"/>
    <n v="697.57"/>
    <n v="17"/>
    <n v="0.1"/>
    <d v="2024-10-19T00:00:00"/>
    <n v="313.91000000000003"/>
  </r>
  <r>
    <s v="CUST006"/>
    <s v="David Anderson"/>
    <x v="0"/>
    <s v="Furniture"/>
    <n v="1193.6099999999999"/>
    <n v="1"/>
    <n v="0.15"/>
    <d v="2024-10-19T00:00:00"/>
    <n v="355.1"/>
  </r>
  <r>
    <s v="CUST009"/>
    <s v="Emma Davis"/>
    <x v="2"/>
    <s v="Electronics"/>
    <n v="771.02"/>
    <n v="1"/>
    <n v="0"/>
    <d v="2024-10-20T00:00:00"/>
    <n v="192.76"/>
  </r>
  <r>
    <s v="CUST003"/>
    <s v="Linda Moore"/>
    <x v="3"/>
    <s v="Clothing"/>
    <n v="661.09"/>
    <n v="1"/>
    <n v="0.2"/>
    <d v="2024-10-28T00:00:00"/>
    <n v="264.44"/>
  </r>
  <r>
    <s v="CUST012"/>
    <s v="David Brown"/>
    <x v="0"/>
    <s v="Electronics"/>
    <n v="688.83"/>
    <n v="15"/>
    <n v="0"/>
    <d v="2024-10-30T00:00:00"/>
    <n v="172.21"/>
  </r>
  <r>
    <s v="CUST013"/>
    <s v="Linda Wilson"/>
    <x v="4"/>
    <s v="Books"/>
    <n v="1249.0999999999999"/>
    <n v="4"/>
    <n v="0.05"/>
    <d v="2024-11-01T00:00:00"/>
    <n v="474.66"/>
  </r>
  <r>
    <s v="CUST008"/>
    <s v="James Wilson"/>
    <x v="1"/>
    <s v="Office Supplies"/>
    <n v="1014.22"/>
    <n v="14"/>
    <n v="0.05"/>
    <d v="2024-11-03T00:00:00"/>
    <n v="433.58"/>
  </r>
  <r>
    <s v="CUST025"/>
    <s v="Lisa Davis"/>
    <x v="1"/>
    <s v="Books"/>
    <n v="1010.58"/>
    <n v="2"/>
    <n v="0.15"/>
    <d v="2024-11-09T00:00:00"/>
    <n v="343.6"/>
  </r>
  <r>
    <s v="CUST026"/>
    <s v="Mary Wilson"/>
    <x v="3"/>
    <s v="Furniture"/>
    <n v="957.29"/>
    <n v="4"/>
    <n v="0.05"/>
    <d v="2024-11-09T00:00:00"/>
    <n v="318.3"/>
  </r>
  <r>
    <s v="CUST001"/>
    <s v="Lisa Thomas"/>
    <x v="3"/>
    <s v="Furniture"/>
    <n v="1077.92"/>
    <n v="3"/>
    <n v="0.05"/>
    <d v="2024-11-12T00:00:00"/>
    <n v="358.41"/>
  </r>
  <r>
    <s v="CUST028"/>
    <s v="Linda Brown"/>
    <x v="2"/>
    <s v="Clothing"/>
    <n v="1163.01"/>
    <n v="5"/>
    <n v="0"/>
    <d v="2024-11-15T00:00:00"/>
    <n v="581.5"/>
  </r>
  <r>
    <s v="CUST025"/>
    <s v="Lisa Thomas"/>
    <x v="1"/>
    <s v="Office Supplies"/>
    <n v="1014.56"/>
    <n v="10"/>
    <n v="0.1"/>
    <d v="2024-11-16T00:00:00"/>
    <n v="410.9"/>
  </r>
  <r>
    <s v="CUST019"/>
    <s v="James Taylor"/>
    <x v="2"/>
    <s v="Electronics"/>
    <n v="718.04"/>
    <n v="14"/>
    <n v="0"/>
    <d v="2024-11-17T00:00:00"/>
    <n v="179.51"/>
  </r>
  <r>
    <s v="CUST004"/>
    <s v="James Taylor"/>
    <x v="4"/>
    <s v="Clothing"/>
    <n v="1277.8499999999999"/>
    <n v="18"/>
    <n v="0.2"/>
    <d v="2024-11-17T00:00:00"/>
    <n v="511.14"/>
  </r>
  <r>
    <s v="CUST024"/>
    <s v="James Wilson"/>
    <x v="3"/>
    <s v="Electronics"/>
    <n v="706.73"/>
    <n v="1"/>
    <n v="0.15"/>
    <d v="2024-11-17T00:00:00"/>
    <n v="150.18"/>
  </r>
  <r>
    <s v="CUST002"/>
    <s v="Linda Brown"/>
    <x v="1"/>
    <s v="Electronics"/>
    <n v="1410.59"/>
    <n v="15"/>
    <n v="0"/>
    <d v="2024-11-19T00:00:00"/>
    <n v="352.65"/>
  </r>
  <r>
    <s v="CUST009"/>
    <s v="Emma Wilson"/>
    <x v="2"/>
    <s v="Furniture"/>
    <n v="1350.33"/>
    <n v="10"/>
    <n v="0"/>
    <d v="2024-11-19T00:00:00"/>
    <n v="472.62"/>
  </r>
  <r>
    <s v="CUST029"/>
    <s v="Lisa Thomas"/>
    <x v="1"/>
    <s v="Electronics"/>
    <n v="919.18"/>
    <n v="4"/>
    <n v="0.15"/>
    <d v="2024-11-19T00:00:00"/>
    <n v="195.33"/>
  </r>
  <r>
    <s v="CUST027"/>
    <s v="James Wilson"/>
    <x v="0"/>
    <s v="Electronics"/>
    <n v="258.51"/>
    <n v="19"/>
    <n v="0"/>
    <d v="2024-11-20T00:00:00"/>
    <n v="64.63"/>
  </r>
  <r>
    <s v="CUST011"/>
    <s v="Emma Wilson"/>
    <x v="1"/>
    <s v="Books"/>
    <n v="1213.48"/>
    <n v="5"/>
    <n v="0.05"/>
    <d v="2024-11-20T00:00:00"/>
    <n v="461.12"/>
  </r>
  <r>
    <s v="CUST021"/>
    <s v="Emma Davis"/>
    <x v="4"/>
    <s v="Books"/>
    <n v="1150.28"/>
    <n v="8"/>
    <n v="0.05"/>
    <d v="2024-11-26T00:00:00"/>
    <n v="437.11"/>
  </r>
  <r>
    <s v="CUST014"/>
    <s v="David Anderson"/>
    <x v="2"/>
    <s v="Furniture"/>
    <n v="853.86"/>
    <n v="8"/>
    <n v="0.1"/>
    <d v="2024-11-26T00:00:00"/>
    <n v="268.97000000000003"/>
  </r>
  <r>
    <s v="CUST018"/>
    <s v="Lisa Thomas"/>
    <x v="2"/>
    <s v="Electronics"/>
    <n v="1061.04"/>
    <n v="1"/>
    <n v="0"/>
    <d v="2024-11-28T00:00:00"/>
    <n v="265.26"/>
  </r>
  <r>
    <s v="CUST001"/>
    <s v="Sarah Anderson"/>
    <x v="0"/>
    <s v="Electronics"/>
    <n v="894.55"/>
    <n v="19"/>
    <n v="0.2"/>
    <d v="2024-11-29T00:00:00"/>
    <n v="178.91"/>
  </r>
  <r>
    <s v="CUST007"/>
    <s v="Emma Davis"/>
    <x v="3"/>
    <s v="Office Supplies"/>
    <n v="833.91"/>
    <n v="3"/>
    <n v="0.05"/>
    <d v="2024-11-30T00:00:00"/>
    <n v="356.5"/>
  </r>
  <r>
    <s v="CUST015"/>
    <s v="David Anderson"/>
    <x v="0"/>
    <s v="Furniture"/>
    <n v="820.19"/>
    <n v="4"/>
    <n v="0.2"/>
    <d v="2024-12-04T00:00:00"/>
    <n v="229.65"/>
  </r>
  <r>
    <s v="CUST015"/>
    <s v="Emma Davis"/>
    <x v="4"/>
    <s v="Electronics"/>
    <n v="511.74"/>
    <n v="8"/>
    <n v="0.05"/>
    <d v="2024-12-05T00:00:00"/>
    <n v="121.54"/>
  </r>
  <r>
    <s v="CUST002"/>
    <s v="Emma Wilson"/>
    <x v="2"/>
    <s v="Furniture"/>
    <n v="806.03"/>
    <n v="19"/>
    <n v="0.05"/>
    <d v="2024-12-12T00:00:00"/>
    <n v="268"/>
  </r>
  <r>
    <s v="CUST001"/>
    <s v="Michael Anderson"/>
    <x v="4"/>
    <s v="Furniture"/>
    <n v="1432.47"/>
    <n v="16"/>
    <n v="0.15"/>
    <d v="2024-12-14T00:00:00"/>
    <n v="426.16"/>
  </r>
  <r>
    <s v="CUST027"/>
    <s v="Linda Wilson"/>
    <x v="4"/>
    <s v="Electronics"/>
    <n v="1488.58"/>
    <n v="10"/>
    <n v="0.15"/>
    <d v="2024-12-14T00:00:00"/>
    <n v="316.32"/>
  </r>
  <r>
    <s v="CUST026"/>
    <s v="Emma Taylor"/>
    <x v="1"/>
    <s v="Books"/>
    <n v="1231.26"/>
    <n v="9"/>
    <n v="0"/>
    <d v="2024-12-20T00:00:00"/>
    <n v="492.5"/>
  </r>
  <r>
    <s v="CUST026"/>
    <s v="Sarah Anderson"/>
    <x v="0"/>
    <s v="Electronics"/>
    <n v="1161.67"/>
    <n v="19"/>
    <n v="0.2"/>
    <d v="2024-12-21T00:00:00"/>
    <n v="232.33"/>
  </r>
  <r>
    <s v="CUST022"/>
    <s v="Lisa Thomas"/>
    <x v="4"/>
    <s v="Office Supplies"/>
    <n v="388.23"/>
    <n v="16"/>
    <n v="0.05"/>
    <d v="2024-12-24T00:00:00"/>
    <n v="165.97"/>
  </r>
  <r>
    <s v="CUST004"/>
    <s v="Mary Davis"/>
    <x v="3"/>
    <s v="Clothing"/>
    <n v="1589.42"/>
    <n v="6"/>
    <n v="0.15"/>
    <d v="2024-12-25T00:00:00"/>
    <n v="675.5"/>
  </r>
  <r>
    <s v="CUST001"/>
    <s v="David Anderson"/>
    <x v="3"/>
    <s v="Clothing"/>
    <n v="336.66"/>
    <n v="13"/>
    <n v="0.2"/>
    <d v="2024-12-25T00:00:00"/>
    <n v="134.66"/>
  </r>
  <r>
    <s v="CUST022"/>
    <s v="James Wilson"/>
    <x v="0"/>
    <s v="Books"/>
    <n v="1353.79"/>
    <n v="14"/>
    <n v="0.1"/>
    <d v="2024-12-30T00:00:00"/>
    <n v="487.36"/>
  </r>
  <r>
    <s v="CUST011"/>
    <s v="Linda Moore"/>
    <x v="4"/>
    <s v="Clothing"/>
    <n v="662.61"/>
    <n v="11"/>
    <n v="0.05"/>
    <d v="2025-01-01T00:00:00"/>
    <n v="314.74"/>
  </r>
  <r>
    <s v="CUST028"/>
    <s v="Lisa Davis"/>
    <x v="3"/>
    <s v="Office Supplies"/>
    <n v="309.42"/>
    <n v="1"/>
    <n v="0.2"/>
    <d v="2025-01-01T00:00:00"/>
    <n v="111.39"/>
  </r>
  <r>
    <s v="CUST011"/>
    <s v="Linda Wilson"/>
    <x v="3"/>
    <s v="Books"/>
    <n v="884.63"/>
    <n v="18"/>
    <n v="0.1"/>
    <d v="2025-01-02T00:00:00"/>
    <n v="318.47000000000003"/>
  </r>
  <r>
    <s v="CUST028"/>
    <s v="James Wilson"/>
    <x v="4"/>
    <s v="Office Supplies"/>
    <n v="745.05"/>
    <n v="10"/>
    <n v="0.1"/>
    <d v="2025-01-03T00:00:00"/>
    <n v="301.75"/>
  </r>
  <r>
    <s v="CUST016"/>
    <s v="James Taylor"/>
    <x v="2"/>
    <s v="Clothing"/>
    <n v="870.23"/>
    <n v="5"/>
    <n v="0.05"/>
    <d v="2025-01-03T00:00:00"/>
    <n v="413.36"/>
  </r>
  <r>
    <s v="CUST010"/>
    <s v="Linda Wilson"/>
    <x v="0"/>
    <s v="Furniture"/>
    <n v="862.19"/>
    <n v="18"/>
    <n v="0.05"/>
    <d v="2025-01-06T00:00:00"/>
    <n v="286.68"/>
  </r>
  <r>
    <s v="CUST013"/>
    <s v="Mary Wilson"/>
    <x v="3"/>
    <s v="Clothing"/>
    <n v="1171.18"/>
    <n v="19"/>
    <n v="0.05"/>
    <d v="2025-01-10T00:00:00"/>
    <n v="556.30999999999995"/>
  </r>
  <r>
    <s v="CUST015"/>
    <s v="Robert Anderson"/>
    <x v="2"/>
    <s v="Furniture"/>
    <n v="1054.56"/>
    <n v="11"/>
    <n v="0.1"/>
    <d v="2025-01-12T00:00:00"/>
    <n v="332.19"/>
  </r>
  <r>
    <s v="CUST015"/>
    <s v="James Wilson"/>
    <x v="3"/>
    <s v="Electronics"/>
    <n v="1681.21"/>
    <n v="5"/>
    <n v="0.2"/>
    <d v="2025-01-13T00:00:00"/>
    <n v="336.24"/>
  </r>
  <r>
    <s v="CUST015"/>
    <s v="David Thomas"/>
    <x v="0"/>
    <s v="Clothing"/>
    <n v="379.77"/>
    <n v="9"/>
    <n v="0.05"/>
    <d v="2025-01-16T00:00:00"/>
    <n v="180.39"/>
  </r>
  <r>
    <s v="CUST008"/>
    <s v="Lisa Thomas"/>
    <x v="4"/>
    <s v="Clothing"/>
    <n v="1076.33"/>
    <n v="2"/>
    <n v="0.1"/>
    <d v="2025-01-17T00:00:00"/>
    <n v="484.35"/>
  </r>
  <r>
    <s v="CUST008"/>
    <s v="Mary Davis"/>
    <x v="4"/>
    <s v="Office Supplies"/>
    <n v="1250.71"/>
    <n v="7"/>
    <n v="0"/>
    <d v="2025-01-17T00:00:00"/>
    <n v="562.82000000000005"/>
  </r>
  <r>
    <s v="CUST023"/>
    <s v="James Taylor"/>
    <x v="2"/>
    <s v="Clothing"/>
    <n v="1118.3399999999999"/>
    <n v="6"/>
    <n v="0.2"/>
    <d v="2025-01-17T00:00:00"/>
    <n v="447.34"/>
  </r>
  <r>
    <s v="CUST024"/>
    <s v="Linda Taylor"/>
    <x v="3"/>
    <s v="Clothing"/>
    <n v="1622.62"/>
    <n v="12"/>
    <n v="0.2"/>
    <d v="2025-01-20T00:00:00"/>
    <n v="649.04999999999995"/>
  </r>
  <r>
    <s v="CUST018"/>
    <s v="Lisa Davis"/>
    <x v="3"/>
    <s v="Books"/>
    <n v="640.64"/>
    <n v="11"/>
    <n v="0.2"/>
    <d v="2025-01-21T00:00:00"/>
    <n v="205"/>
  </r>
  <r>
    <s v="CUST030"/>
    <s v="Sarah Anderson"/>
    <x v="0"/>
    <s v="Clothing"/>
    <n v="585.16"/>
    <n v="17"/>
    <n v="0.1"/>
    <d v="2025-01-27T00:00:00"/>
    <n v="263.32"/>
  </r>
  <r>
    <s v="CUST030"/>
    <s v="Mary Davis"/>
    <x v="1"/>
    <s v="Clothing"/>
    <n v="1109.98"/>
    <n v="5"/>
    <n v="0.2"/>
    <d v="2025-02-02T00:00:00"/>
    <n v="443.99"/>
  </r>
  <r>
    <s v="CUST015"/>
    <s v="Lisa Thomas"/>
    <x v="1"/>
    <s v="Books"/>
    <n v="1098.08"/>
    <n v="9"/>
    <n v="0.1"/>
    <d v="2025-02-04T00:00:00"/>
    <n v="395.31"/>
  </r>
  <r>
    <s v="CUST002"/>
    <s v="Lisa Davis"/>
    <x v="0"/>
    <s v="Office Supplies"/>
    <n v="827.25"/>
    <n v="7"/>
    <n v="0.1"/>
    <d v="2025-02-05T00:00:00"/>
    <n v="335.04"/>
  </r>
  <r>
    <s v="CUST024"/>
    <s v="Linda Wilson"/>
    <x v="4"/>
    <s v="Clothing"/>
    <n v="741.88"/>
    <n v="16"/>
    <n v="0.1"/>
    <d v="2025-02-07T00:00:00"/>
    <n v="333.85"/>
  </r>
  <r>
    <s v="CUST004"/>
    <s v="James Davis"/>
    <x v="1"/>
    <s v="Office Supplies"/>
    <n v="1311.26"/>
    <n v="6"/>
    <n v="0.1"/>
    <d v="2025-02-10T00:00:00"/>
    <n v="531.05999999999995"/>
  </r>
  <r>
    <s v="CUST004"/>
    <s v="Mary Davis"/>
    <x v="2"/>
    <s v="Office Supplies"/>
    <n v="573.32000000000005"/>
    <n v="19"/>
    <n v="0.1"/>
    <d v="2025-02-15T00:00:00"/>
    <n v="232.19"/>
  </r>
  <r>
    <s v="CUST028"/>
    <s v="James Wilson"/>
    <x v="0"/>
    <s v="Electronics"/>
    <n v="1115.22"/>
    <n v="14"/>
    <n v="0.2"/>
    <d v="2025-02-17T00:00:00"/>
    <n v="223.04"/>
  </r>
  <r>
    <s v="CUST012"/>
    <s v="Lisa Thomas"/>
    <x v="3"/>
    <s v="Clothing"/>
    <n v="845.84"/>
    <n v="4"/>
    <n v="0"/>
    <d v="2025-02-19T00:00:00"/>
    <n v="422.92"/>
  </r>
  <r>
    <s v="CUST026"/>
    <s v="David Brown"/>
    <x v="0"/>
    <s v="Electronics"/>
    <n v="1029.8"/>
    <n v="3"/>
    <n v="0"/>
    <d v="2025-02-20T00:00:00"/>
    <n v="257.45"/>
  </r>
  <r>
    <s v="CUST009"/>
    <s v="Mary Davis"/>
    <x v="3"/>
    <s v="Books"/>
    <n v="1189.83"/>
    <n v="2"/>
    <n v="0.2"/>
    <d v="2025-02-21T00:00:00"/>
    <n v="380.75"/>
  </r>
  <r>
    <s v="CUST003"/>
    <s v="Sarah Anderson"/>
    <x v="2"/>
    <s v="Books"/>
    <n v="704.28"/>
    <n v="15"/>
    <n v="0.2"/>
    <d v="2025-02-24T00:00:00"/>
    <n v="225.37"/>
  </r>
  <r>
    <s v="CUST002"/>
    <s v="Mary Jackson"/>
    <x v="4"/>
    <s v="Office Supplies"/>
    <n v="1618.22"/>
    <n v="12"/>
    <n v="0.2"/>
    <d v="2025-02-24T00:00:00"/>
    <n v="582.55999999999995"/>
  </r>
  <r>
    <s v="CUST013"/>
    <s v="Linda Taylor"/>
    <x v="4"/>
    <s v="Books"/>
    <n v="1014.43"/>
    <n v="2"/>
    <n v="0.15"/>
    <d v="2025-02-25T00:00:00"/>
    <n v="344.91"/>
  </r>
  <r>
    <s v="CUST018"/>
    <s v="Mary Davis"/>
    <x v="4"/>
    <s v="Clothing"/>
    <n v="826.97"/>
    <n v="18"/>
    <n v="0.2"/>
    <d v="2025-02-27T00:00:00"/>
    <n v="330.79"/>
  </r>
  <r>
    <s v="CUST017"/>
    <s v="Mary Davis"/>
    <x v="4"/>
    <s v="Clothing"/>
    <n v="1022.23"/>
    <n v="8"/>
    <n v="0.1"/>
    <d v="2025-03-01T00:00:00"/>
    <n v="460"/>
  </r>
  <r>
    <s v="CUST004"/>
    <s v="Linda Wilson"/>
    <x v="1"/>
    <s v="Books"/>
    <n v="1099.69"/>
    <n v="6"/>
    <n v="0"/>
    <d v="2025-03-02T00:00:00"/>
    <n v="439.88"/>
  </r>
  <r>
    <s v="CUST028"/>
    <s v="Sarah Davis"/>
    <x v="3"/>
    <s v="Books"/>
    <n v="710.52"/>
    <n v="8"/>
    <n v="0.1"/>
    <d v="2025-03-05T00:00:00"/>
    <n v="255.79"/>
  </r>
  <r>
    <s v="CUST028"/>
    <s v="Mary Wilson"/>
    <x v="3"/>
    <s v="Books"/>
    <n v="499.18"/>
    <n v="15"/>
    <n v="0.2"/>
    <d v="2025-03-08T00:00:00"/>
    <n v="159.74"/>
  </r>
  <r>
    <s v="CUST014"/>
    <s v="Emma Davis"/>
    <x v="2"/>
    <s v="Books"/>
    <n v="1064.19"/>
    <n v="18"/>
    <n v="0.05"/>
    <d v="2025-03-09T00:00:00"/>
    <n v="404.39"/>
  </r>
  <r>
    <s v="CUST003"/>
    <s v="Emma Davis"/>
    <x v="1"/>
    <s v="Office Supplies"/>
    <n v="438.76"/>
    <n v="18"/>
    <n v="0.05"/>
    <d v="2025-03-10T00:00:00"/>
    <n v="187.57"/>
  </r>
  <r>
    <s v="CUST029"/>
    <s v="David Brown"/>
    <x v="0"/>
    <s v="Clothing"/>
    <n v="864.98"/>
    <n v="2"/>
    <n v="0.05"/>
    <d v="2025-03-11T00:00:00"/>
    <n v="410.87"/>
  </r>
  <r>
    <s v="CUST021"/>
    <s v="David Brown"/>
    <x v="0"/>
    <s v="Furniture"/>
    <n v="984.93"/>
    <n v="14"/>
    <n v="0.2"/>
    <d v="2025-03-17T00:00:00"/>
    <n v="275.77999999999997"/>
  </r>
  <r>
    <s v="CUST007"/>
    <s v="David Brown"/>
    <x v="0"/>
    <s v="Clothing"/>
    <n v="1493.49"/>
    <n v="18"/>
    <n v="0"/>
    <d v="2025-03-18T00:00:00"/>
    <n v="746.74"/>
  </r>
  <r>
    <s v="CUST009"/>
    <s v="Linda Taylor"/>
    <x v="2"/>
    <s v="Clothing"/>
    <n v="689.43"/>
    <n v="9"/>
    <n v="0.1"/>
    <d v="2025-03-20T00:00:00"/>
    <n v="310.24"/>
  </r>
  <r>
    <s v="CUST023"/>
    <s v="Mary Wilson"/>
    <x v="2"/>
    <s v="Clothing"/>
    <n v="682.24"/>
    <n v="1"/>
    <n v="0"/>
    <d v="2025-03-22T00:00:00"/>
    <n v="341.12"/>
  </r>
  <r>
    <s v="CUST029"/>
    <s v="Michael Anderson"/>
    <x v="3"/>
    <s v="Electronics"/>
    <n v="458.54"/>
    <n v="15"/>
    <n v="0.2"/>
    <d v="2025-03-25T00:00:00"/>
    <n v="91.71"/>
  </r>
  <r>
    <s v="CUST009"/>
    <s v="Michael Anderson"/>
    <x v="2"/>
    <s v="Furniture"/>
    <n v="1184.25"/>
    <n v="11"/>
    <n v="0.2"/>
    <d v="2025-03-26T00:00:00"/>
    <n v="331.59"/>
  </r>
  <r>
    <s v="CUST007"/>
    <s v="James Davis"/>
    <x v="2"/>
    <s v="Clothing"/>
    <n v="762.14"/>
    <n v="9"/>
    <n v="0"/>
    <d v="2025-03-27T00:00:00"/>
    <n v="381.07"/>
  </r>
  <r>
    <s v="CUST030"/>
    <s v="Linda Taylor"/>
    <x v="3"/>
    <s v="Books"/>
    <n v="750.71"/>
    <n v="10"/>
    <n v="0.15"/>
    <d v="2025-03-27T00:00:00"/>
    <n v="255.24"/>
  </r>
  <r>
    <s v="CUST018"/>
    <s v="David Anderson"/>
    <x v="4"/>
    <s v="Clothing"/>
    <n v="1456.94"/>
    <n v="14"/>
    <n v="0.05"/>
    <d v="2025-03-29T00:00:00"/>
    <n v="692.05"/>
  </r>
  <r>
    <s v="CUST008"/>
    <s v="Emma Wilson"/>
    <x v="1"/>
    <s v="Furniture"/>
    <n v="1093.3800000000001"/>
    <n v="17"/>
    <n v="0.1"/>
    <d v="2025-03-29T00:00:00"/>
    <n v="344.41"/>
  </r>
  <r>
    <s v="CUST014"/>
    <s v="Sarah Anderson"/>
    <x v="0"/>
    <s v="Clothing"/>
    <n v="934.27"/>
    <n v="8"/>
    <n v="0.15"/>
    <d v="2025-03-30T00:00:00"/>
    <n v="397.06"/>
  </r>
  <r>
    <s v="CUST024"/>
    <s v="David Thomas"/>
    <x v="4"/>
    <s v="Clothing"/>
    <n v="1465.35"/>
    <n v="8"/>
    <n v="0.2"/>
    <d v="2025-03-30T00:00:00"/>
    <n v="586.14"/>
  </r>
  <r>
    <s v="CUST028"/>
    <s v="Robert Anderson"/>
    <x v="2"/>
    <s v="Office Supplies"/>
    <n v="740.8"/>
    <n v="3"/>
    <n v="0"/>
    <d v="2025-04-02T00:00:00"/>
    <n v="333.36"/>
  </r>
  <r>
    <s v="CUST015"/>
    <s v="Sarah Anderson"/>
    <x v="0"/>
    <s v="Office Supplies"/>
    <n v="545.44000000000005"/>
    <n v="17"/>
    <n v="0"/>
    <d v="2025-04-05T00:00:00"/>
    <n v="245.45"/>
  </r>
  <r>
    <s v="CUST010"/>
    <s v="David Thomas"/>
    <x v="1"/>
    <s v="Books"/>
    <n v="997.61"/>
    <n v="8"/>
    <n v="0.05"/>
    <d v="2025-04-05T00:00:00"/>
    <n v="379.09"/>
  </r>
  <r>
    <s v="CUST016"/>
    <s v="David Thomas"/>
    <x v="2"/>
    <s v="Clothing"/>
    <n v="928.32"/>
    <n v="2"/>
    <n v="0.05"/>
    <d v="2025-04-07T00:00:00"/>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6B8A28-BBE6-4C83-B417-67DA9CF247A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2:B18" firstHeaderRow="1" firstDataRow="1" firstDataCol="1"/>
  <pivotFields count="12">
    <pivotField showAll="0"/>
    <pivotField showAll="0"/>
    <pivotField showAll="0"/>
    <pivotField showAll="0">
      <items count="6">
        <item x="0"/>
        <item x="1"/>
        <item x="2"/>
        <item x="3"/>
        <item x="4"/>
        <item t="default"/>
      </items>
    </pivotField>
    <pivotField dataField="1" numFmtId="164" showAll="0"/>
    <pivotField showAll="0"/>
    <pivotField showAll="0"/>
    <pivotField axis="axisRow" numFmtId="165"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164" showAll="0"/>
    <pivotField axis="axisRow"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3">
    <field x="11"/>
    <field x="9"/>
    <field x="7"/>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formats count="62">
    <format dxfId="134">
      <pivotArea dataOnly="0" labelOnly="1" outline="0" axis="axisValues" fieldPosition="0"/>
    </format>
    <format dxfId="133">
      <pivotArea field="9" type="button" dataOnly="0" labelOnly="1" outline="0" axis="axisRow" fieldPosition="1"/>
    </format>
    <format dxfId="132">
      <pivotArea dataOnly="0" labelOnly="1" grandRow="1" outline="0" fieldPosition="0"/>
    </format>
    <format dxfId="131">
      <pivotArea grandRow="1" outline="0" collapsedLevelsAreSubtotals="1" fieldPosition="0"/>
    </format>
    <format dxfId="130">
      <pivotArea type="all" dataOnly="0" outline="0" fieldPosition="0"/>
    </format>
    <format dxfId="129">
      <pivotArea outline="0" collapsedLevelsAreSubtotals="1" fieldPosition="0"/>
    </format>
    <format dxfId="128">
      <pivotArea field="9" type="button" dataOnly="0" labelOnly="1" outline="0" axis="axisRow" fieldPosition="1"/>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9" type="button" dataOnly="0" labelOnly="1" outline="0" axis="axisRow" fieldPosition="1"/>
    </format>
    <format dxfId="122">
      <pivotArea dataOnly="0" labelOnly="1" grandRow="1" outline="0"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9" type="button" dataOnly="0" labelOnly="1" outline="0" axis="axisRow" fieldPosition="1"/>
    </format>
    <format dxfId="117">
      <pivotArea dataOnly="0" labelOnly="1" grandRow="1" outline="0"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field="11" type="button" dataOnly="0" labelOnly="1" outline="0" axis="axisRow" fieldPosition="0"/>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11" type="button" dataOnly="0" labelOnly="1" outline="0" axis="axisRow" fieldPosition="0"/>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11" type="button" dataOnly="0" labelOnly="1" outline="0" axis="axisRow" fieldPosition="0"/>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11" type="button" dataOnly="0" labelOnly="1" outline="0" axis="axisRow" fieldPosition="0"/>
    </format>
    <format dxfId="97">
      <pivotArea dataOnly="0" labelOnly="1" fieldPosition="0">
        <references count="1">
          <reference field="11" count="2">
            <x v="1"/>
            <x v="2"/>
          </reference>
        </references>
      </pivotArea>
    </format>
    <format dxfId="96">
      <pivotArea dataOnly="0" labelOnly="1" grandRow="1" outline="0" fieldPosition="0"/>
    </format>
    <format dxfId="95">
      <pivotArea dataOnly="0" labelOnly="1" fieldPosition="0">
        <references count="2">
          <reference field="9" count="9">
            <x v="4"/>
            <x v="5"/>
            <x v="6"/>
            <x v="7"/>
            <x v="8"/>
            <x v="9"/>
            <x v="10"/>
            <x v="11"/>
            <x v="12"/>
          </reference>
          <reference field="11" count="1" selected="0">
            <x v="1"/>
          </reference>
        </references>
      </pivotArea>
    </format>
    <format dxfId="94">
      <pivotArea dataOnly="0" labelOnly="1" fieldPosition="0">
        <references count="2">
          <reference field="9" count="4">
            <x v="1"/>
            <x v="2"/>
            <x v="3"/>
            <x v="4"/>
          </reference>
          <reference field="11" count="1" selected="0">
            <x v="2"/>
          </reference>
        </references>
      </pivotArea>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11" type="button" dataOnly="0" labelOnly="1" outline="0" axis="axisRow" fieldPosition="0"/>
    </format>
    <format dxfId="89">
      <pivotArea dataOnly="0" labelOnly="1" fieldPosition="0">
        <references count="1">
          <reference field="11" count="2">
            <x v="1"/>
            <x v="2"/>
          </reference>
        </references>
      </pivotArea>
    </format>
    <format dxfId="88">
      <pivotArea dataOnly="0" labelOnly="1" grandRow="1" outline="0" fieldPosition="0"/>
    </format>
    <format dxfId="87">
      <pivotArea dataOnly="0" labelOnly="1" fieldPosition="0">
        <references count="2">
          <reference field="9" count="9">
            <x v="4"/>
            <x v="5"/>
            <x v="6"/>
            <x v="7"/>
            <x v="8"/>
            <x v="9"/>
            <x v="10"/>
            <x v="11"/>
            <x v="12"/>
          </reference>
          <reference field="11" count="1" selected="0">
            <x v="1"/>
          </reference>
        </references>
      </pivotArea>
    </format>
    <format dxfId="86">
      <pivotArea dataOnly="0" labelOnly="1" fieldPosition="0">
        <references count="2">
          <reference field="9" count="4">
            <x v="1"/>
            <x v="2"/>
            <x v="3"/>
            <x v="4"/>
          </reference>
          <reference field="11" count="1" selected="0">
            <x v="2"/>
          </reference>
        </references>
      </pivotArea>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1" type="button" dataOnly="0" labelOnly="1" outline="0" axis="axisRow" fieldPosition="0"/>
    </format>
    <format dxfId="81">
      <pivotArea dataOnly="0" labelOnly="1" fieldPosition="0">
        <references count="1">
          <reference field="11" count="2">
            <x v="1"/>
            <x v="2"/>
          </reference>
        </references>
      </pivotArea>
    </format>
    <format dxfId="80">
      <pivotArea dataOnly="0" labelOnly="1" grandRow="1" outline="0" fieldPosition="0"/>
    </format>
    <format dxfId="79">
      <pivotArea dataOnly="0" labelOnly="1" fieldPosition="0">
        <references count="2">
          <reference field="9" count="9">
            <x v="4"/>
            <x v="5"/>
            <x v="6"/>
            <x v="7"/>
            <x v="8"/>
            <x v="9"/>
            <x v="10"/>
            <x v="11"/>
            <x v="12"/>
          </reference>
          <reference field="11" count="1" selected="0">
            <x v="1"/>
          </reference>
        </references>
      </pivotArea>
    </format>
    <format dxfId="78">
      <pivotArea dataOnly="0" labelOnly="1" fieldPosition="0">
        <references count="2">
          <reference field="9" count="4">
            <x v="1"/>
            <x v="2"/>
            <x v="3"/>
            <x v="4"/>
          </reference>
          <reference field="11" count="1" selected="0">
            <x v="2"/>
          </reference>
        </references>
      </pivotArea>
    </format>
    <format dxfId="77">
      <pivotArea dataOnly="0" labelOnly="1" outline="0" axis="axisValues" fieldPosition="0"/>
    </format>
    <format dxfId="76">
      <pivotArea field="11" type="button" dataOnly="0" labelOnly="1" outline="0" axis="axisRow" fieldPosition="0"/>
    </format>
    <format dxfId="75">
      <pivotArea dataOnly="0" labelOnly="1" outline="0" axis="axisValues" fieldPosition="0"/>
    </format>
    <format dxfId="74">
      <pivotArea grandRow="1" outline="0" collapsedLevelsAreSubtotals="1" fieldPosition="0"/>
    </format>
    <format dxfId="73">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D526B2-B8BF-4DBD-9395-0B9F779928E7}"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2:B18" firstHeaderRow="1" firstDataRow="1" firstDataCol="1"/>
  <pivotFields count="9">
    <pivotField showAll="0"/>
    <pivotField showAll="0"/>
    <pivotField axis="axisRow" showAll="0">
      <items count="6">
        <item x="4"/>
        <item x="1"/>
        <item x="3"/>
        <item x="2"/>
        <item x="0"/>
        <item t="default"/>
      </items>
    </pivotField>
    <pivotField showAll="0"/>
    <pivotField numFmtId="164" showAll="0"/>
    <pivotField dataField="1" showAll="0"/>
    <pivotField showAll="0"/>
    <pivotField numFmtId="165" showAll="0"/>
    <pivotField numFmtId="164" showAll="0"/>
  </pivotFields>
  <rowFields count="1">
    <field x="2"/>
  </rowFields>
  <rowItems count="6">
    <i>
      <x/>
    </i>
    <i>
      <x v="1"/>
    </i>
    <i>
      <x v="2"/>
    </i>
    <i>
      <x v="3"/>
    </i>
    <i>
      <x v="4"/>
    </i>
    <i t="grand">
      <x/>
    </i>
  </rowItems>
  <colItems count="1">
    <i/>
  </colItems>
  <dataFields count="1">
    <dataField name="Sum of Quantity" fld="5" baseField="0" baseItem="0"/>
  </dataFields>
  <formats count="12">
    <format dxfId="18">
      <pivotArea field="2" type="button" dataOnly="0" labelOnly="1" outline="0" axis="axisRow" fieldPosition="0"/>
    </format>
    <format dxfId="17">
      <pivotArea dataOnly="0" labelOnly="1" outline="0" axis="axisValues" fieldPosition="0"/>
    </format>
    <format dxfId="16">
      <pivotArea field="2" type="button" dataOnly="0" labelOnly="1" outline="0" axis="axisRow" fieldPosition="0"/>
    </format>
    <format dxfId="15">
      <pivotArea dataOnly="0" labelOnly="1" outline="0" axis="axisValues" fieldPosition="0"/>
    </format>
    <format dxfId="14">
      <pivotArea dataOnly="0" labelOnly="1" grandRow="1" outline="0" fieldPosition="0"/>
    </format>
    <format dxfId="13">
      <pivotArea grandRow="1" outline="0" collapsedLevelsAreSubtotals="1" fieldPosition="0"/>
    </format>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1"/>
          </reference>
        </references>
      </pivotArea>
    </chartFormat>
    <chartFormat chart="9" format="10">
      <pivotArea type="data" outline="0" fieldPosition="0">
        <references count="2">
          <reference field="4294967294" count="1" selected="0">
            <x v="0"/>
          </reference>
          <reference field="2" count="1" selected="0">
            <x v="2"/>
          </reference>
        </references>
      </pivotArea>
    </chartFormat>
    <chartFormat chart="9" format="11">
      <pivotArea type="data" outline="0" fieldPosition="0">
        <references count="2">
          <reference field="4294967294" count="1" selected="0">
            <x v="0"/>
          </reference>
          <reference field="2" count="1" selected="0">
            <x v="3"/>
          </reference>
        </references>
      </pivotArea>
    </chartFormat>
    <chartFormat chart="9"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C18395-5436-4189-B67F-27A2E7C93725}"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colHeaderCaption="Region">
  <location ref="A2:G9" firstHeaderRow="1" firstDataRow="2" firstDataCol="1"/>
  <pivotFields count="12">
    <pivotField compact="0" outline="0" showAll="0"/>
    <pivotField compact="0" outline="0" showAll="0"/>
    <pivotField axis="axisCol" compact="0" outline="0" showAll="0">
      <items count="6">
        <item x="4"/>
        <item x="1"/>
        <item x="3"/>
        <item x="2"/>
        <item x="0"/>
        <item t="default"/>
      </items>
    </pivotField>
    <pivotField axis="axisRow" compact="0" outline="0" showAll="0">
      <items count="6">
        <item x="0"/>
        <item x="1"/>
        <item x="2"/>
        <item x="3"/>
        <item x="4"/>
        <item t="default"/>
      </items>
    </pivotField>
    <pivotField dataField="1" compact="0" numFmtId="164" outline="0" showAll="0"/>
    <pivotField compact="0" outline="0" showAll="0"/>
    <pivotField compact="0" outline="0" showAll="0"/>
    <pivotField compact="0" numFmtId="165"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numFmtId="164" outline="0" showAll="0"/>
    <pivotField compact="0" outline="0" showAll="0">
      <items count="15">
        <item h="1" x="0"/>
        <item h="1" x="1"/>
        <item h="1" x="2"/>
        <item h="1" x="3"/>
        <item h="1" x="4"/>
        <item h="1" x="5"/>
        <item x="6"/>
        <item h="1" x="7"/>
        <item h="1" x="8"/>
        <item h="1" x="9"/>
        <item h="1" x="10"/>
        <item h="1" x="11"/>
        <item h="1" x="12"/>
        <item h="1"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6">
    <i>
      <x/>
    </i>
    <i>
      <x v="1"/>
    </i>
    <i>
      <x v="2"/>
    </i>
    <i>
      <x v="3"/>
    </i>
    <i>
      <x v="4"/>
    </i>
    <i t="grand">
      <x/>
    </i>
  </rowItems>
  <colFields count="1">
    <field x="2"/>
  </colFields>
  <colItems count="6">
    <i>
      <x/>
    </i>
    <i>
      <x v="1"/>
    </i>
    <i>
      <x v="2"/>
    </i>
    <i>
      <x v="3"/>
    </i>
    <i>
      <x v="4"/>
    </i>
    <i t="grand">
      <x/>
    </i>
  </colItems>
  <dataFields count="1">
    <dataField name="Total Sales" fld="4" baseField="3" baseItem="0"/>
  </dataFields>
  <formats count="54">
    <format dxfId="72">
      <pivotArea type="all" dataOnly="0" outline="0" fieldPosition="0"/>
    </format>
    <format dxfId="71">
      <pivotArea outline="0" collapsedLevelsAreSubtotals="1" fieldPosition="0"/>
    </format>
    <format dxfId="70">
      <pivotArea type="origin" dataOnly="0" labelOnly="1" outline="0" fieldPosition="0"/>
    </format>
    <format dxfId="69">
      <pivotArea field="2" type="button" dataOnly="0" labelOnly="1" outline="0" axis="axisCol" fieldPosition="0"/>
    </format>
    <format dxfId="68">
      <pivotArea type="topRight" dataOnly="0" labelOnly="1" outline="0" fieldPosition="0"/>
    </format>
    <format dxfId="67">
      <pivotArea field="3" type="button" dataOnly="0" labelOnly="1" outline="0" axis="axisRow" fieldPosition="0"/>
    </format>
    <format dxfId="66">
      <pivotArea dataOnly="0" labelOnly="1" fieldPosition="0">
        <references count="1">
          <reference field="3" count="0"/>
        </references>
      </pivotArea>
    </format>
    <format dxfId="65">
      <pivotArea dataOnly="0" labelOnly="1" grandRow="1" outline="0" fieldPosition="0"/>
    </format>
    <format dxfId="64">
      <pivotArea dataOnly="0" labelOnly="1" fieldPosition="0">
        <references count="1">
          <reference field="2" count="0"/>
        </references>
      </pivotArea>
    </format>
    <format dxfId="63">
      <pivotArea dataOnly="0" labelOnly="1" grandCol="1" outline="0"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2" type="button" dataOnly="0" labelOnly="1" outline="0" axis="axisCol" fieldPosition="0"/>
    </format>
    <format dxfId="58">
      <pivotArea type="topRight" dataOnly="0" labelOnly="1" outline="0" fieldPosition="0"/>
    </format>
    <format dxfId="57">
      <pivotArea field="3" type="button" dataOnly="0" labelOnly="1" outline="0" axis="axisRow" fieldPosition="0"/>
    </format>
    <format dxfId="56">
      <pivotArea dataOnly="0" labelOnly="1" fieldPosition="0">
        <references count="1">
          <reference field="3" count="0"/>
        </references>
      </pivotArea>
    </format>
    <format dxfId="55">
      <pivotArea dataOnly="0" labelOnly="1" grandRow="1" outline="0" fieldPosition="0"/>
    </format>
    <format dxfId="54">
      <pivotArea dataOnly="0" labelOnly="1" fieldPosition="0">
        <references count="1">
          <reference field="2" count="0"/>
        </references>
      </pivotArea>
    </format>
    <format dxfId="53">
      <pivotArea dataOnly="0" labelOnly="1" grandCol="1" outline="0" fieldPosition="0"/>
    </format>
    <format dxfId="52">
      <pivotArea type="origin" dataOnly="0" labelOnly="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2" type="button" dataOnly="0" labelOnly="1" outline="0" axis="axisCol" fieldPosition="0"/>
    </format>
    <format dxfId="47">
      <pivotArea type="topRight" dataOnly="0" labelOnly="1" outline="0" fieldPosition="0"/>
    </format>
    <format dxfId="46">
      <pivotArea field="3" type="button" dataOnly="0" labelOnly="1" outline="0" axis="axisRow" fieldPosition="0"/>
    </format>
    <format dxfId="45">
      <pivotArea dataOnly="0" labelOnly="1" outline="0" fieldPosition="0">
        <references count="1">
          <reference field="3" count="0"/>
        </references>
      </pivotArea>
    </format>
    <format dxfId="44">
      <pivotArea dataOnly="0" labelOnly="1" grandRow="1" outline="0" fieldPosition="0"/>
    </format>
    <format dxfId="43">
      <pivotArea dataOnly="0" labelOnly="1" outline="0" fieldPosition="0">
        <references count="1">
          <reference field="2" count="0"/>
        </references>
      </pivotArea>
    </format>
    <format dxfId="42">
      <pivotArea dataOnly="0" labelOnly="1" grandCol="1" outline="0" fieldPosition="0"/>
    </format>
    <format dxfId="41">
      <pivotArea grandRow="1" outline="0" collapsedLevelsAreSubtotals="1" fieldPosition="0"/>
    </format>
    <format dxfId="40">
      <pivotArea dataOnly="0" labelOnly="1" grandRow="1" outline="0" fieldPosition="0"/>
    </format>
    <format dxfId="39">
      <pivotArea type="origin" dataOnly="0" labelOnly="1" outline="0" fieldPosition="0"/>
    </format>
    <format dxfId="38">
      <pivotArea field="2" type="button" dataOnly="0" labelOnly="1" outline="0" axis="axisCol" fieldPosition="0"/>
    </format>
    <format dxfId="37">
      <pivotArea type="topRight" dataOnly="0" labelOnly="1" outline="0" fieldPosition="0"/>
    </format>
    <format dxfId="36">
      <pivotArea dataOnly="0" labelOnly="1" outline="0" fieldPosition="0">
        <references count="1">
          <reference field="2" count="1">
            <x v="0"/>
          </reference>
        </references>
      </pivotArea>
    </format>
    <format dxfId="35">
      <pivotArea dataOnly="0" labelOnly="1" outline="0" fieldPosition="0">
        <references count="1">
          <reference field="2" count="1">
            <x v="1"/>
          </reference>
        </references>
      </pivotArea>
    </format>
    <format dxfId="34">
      <pivotArea dataOnly="0" labelOnly="1" outline="0" fieldPosition="0">
        <references count="1">
          <reference field="2" count="1">
            <x v="2"/>
          </reference>
        </references>
      </pivotArea>
    </format>
    <format dxfId="33">
      <pivotArea dataOnly="0" labelOnly="1" outline="0" fieldPosition="0">
        <references count="1">
          <reference field="2" count="1">
            <x v="3"/>
          </reference>
        </references>
      </pivotArea>
    </format>
    <format dxfId="32">
      <pivotArea dataOnly="0" labelOnly="1" outline="0" fieldPosition="0">
        <references count="1">
          <reference field="2" count="1">
            <x v="4"/>
          </reference>
        </references>
      </pivotArea>
    </format>
    <format dxfId="31">
      <pivotArea dataOnly="0" labelOnly="1" outline="0" fieldPosition="0">
        <references count="1">
          <reference field="2" count="1">
            <x v="3"/>
          </reference>
        </references>
      </pivotArea>
    </format>
    <format dxfId="30">
      <pivotArea dataOnly="0" labelOnly="1" outline="0" fieldPosition="0">
        <references count="1">
          <reference field="2" count="1">
            <x v="2"/>
          </reference>
        </references>
      </pivotArea>
    </format>
    <format dxfId="29">
      <pivotArea dataOnly="0" labelOnly="1" outline="0" fieldPosition="0">
        <references count="1">
          <reference field="2" count="1">
            <x v="1"/>
          </reference>
        </references>
      </pivotArea>
    </format>
    <format dxfId="28">
      <pivotArea dataOnly="0" labelOnly="1" outline="0" fieldPosition="0">
        <references count="1">
          <reference field="2" count="1">
            <x v="0"/>
          </reference>
        </references>
      </pivotArea>
    </format>
    <format dxfId="27">
      <pivotArea dataOnly="0" labelOnly="1" grandCol="1" outline="0" fieldPosition="0"/>
    </format>
    <format dxfId="26">
      <pivotArea grandRow="1" outline="0" collapsedLevelsAreSubtotals="1" fieldPosition="0"/>
    </format>
    <format dxfId="25">
      <pivotArea dataOnly="0" labelOnly="1" grandRow="1" outline="0" fieldPosition="0"/>
    </format>
    <format dxfId="24">
      <pivotArea type="origin" dataOnly="0" labelOnly="1" outline="0" fieldPosition="0"/>
    </format>
    <format dxfId="23">
      <pivotArea field="2" type="button" dataOnly="0" labelOnly="1" outline="0" axis="axisCol" fieldPosition="0"/>
    </format>
    <format dxfId="22">
      <pivotArea type="topRight" dataOnly="0" labelOnly="1" outline="0" fieldPosition="0"/>
    </format>
    <format dxfId="21">
      <pivotArea field="3" type="button" dataOnly="0" labelOnly="1" outline="0" axis="axisRow" fieldPosition="0"/>
    </format>
    <format dxfId="20">
      <pivotArea dataOnly="0" labelOnly="1" outline="0" fieldPosition="0">
        <references count="1">
          <reference field="2" count="0"/>
        </references>
      </pivotArea>
    </format>
    <format dxfId="19">
      <pivotArea dataOnly="0" labelOnly="1" grandCol="1" outline="0" fieldPosition="0"/>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7" format="10" series="1">
      <pivotArea type="data" outline="0" fieldPosition="0">
        <references count="2">
          <reference field="4294967294" count="1" selected="0">
            <x v="0"/>
          </reference>
          <reference field="2" count="1" selected="0">
            <x v="0"/>
          </reference>
        </references>
      </pivotArea>
    </chartFormat>
    <chartFormat chart="7" format="11" series="1">
      <pivotArea type="data" outline="0" fieldPosition="0">
        <references count="2">
          <reference field="4294967294" count="1" selected="0">
            <x v="0"/>
          </reference>
          <reference field="2" count="1" selected="0">
            <x v="1"/>
          </reference>
        </references>
      </pivotArea>
    </chartFormat>
    <chartFormat chart="7" format="12" series="1">
      <pivotArea type="data" outline="0" fieldPosition="0">
        <references count="2">
          <reference field="4294967294" count="1" selected="0">
            <x v="0"/>
          </reference>
          <reference field="2" count="1" selected="0">
            <x v="2"/>
          </reference>
        </references>
      </pivotArea>
    </chartFormat>
    <chartFormat chart="7" format="13" series="1">
      <pivotArea type="data" outline="0" fieldPosition="0">
        <references count="2">
          <reference field="4294967294" count="1" selected="0">
            <x v="0"/>
          </reference>
          <reference field="2" count="1" selected="0">
            <x v="3"/>
          </reference>
        </references>
      </pivotArea>
    </chartFormat>
    <chartFormat chart="7" format="14" series="1">
      <pivotArea type="data" outline="0" fieldPosition="0">
        <references count="2">
          <reference field="4294967294" count="1" selected="0">
            <x v="0"/>
          </reference>
          <reference field="2" count="1" selected="0">
            <x v="4"/>
          </reference>
        </references>
      </pivotArea>
    </chartFormat>
    <chartFormat chart="7"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C744069-CC46-4F4A-A749-599AD920D63A}" sourceName="Product_Category">
  <pivotTables>
    <pivotTable tabId="7" name="PivotTable7"/>
    <pivotTable tabId="6" name="PivotTable6"/>
  </pivotTables>
  <data>
    <tabular pivotCacheId="769537850">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CA6388-2D96-4E54-ACF7-BF9732BD1E7E}" sourceName="Region">
  <pivotTables>
    <pivotTable tabId="7" name="PivotTable37"/>
  </pivotTables>
  <data>
    <tabular pivotCacheId="1553447651">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A51D10C-9E0D-40F8-AF7F-DDD4B5A3B3F7}" sourceName="Months (Order_Date)">
  <pivotTables>
    <pivotTable tabId="6" name="PivotTable6"/>
  </pivotTables>
  <data>
    <tabular pivotCacheId="76953785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A4149174-AF4D-40A6-9B68-AACD1CD83439}" cache="Slicer_Product_Category" caption="Product_Category" startItem="1" style="Slicer Style 1" rowHeight="365760"/>
  <slicer name="Region" xr10:uid="{CAE3929D-77AB-465A-BEC8-C89BF26AB89D}" cache="Slicer_Region" caption="Region" style="Slicer Style 1" rowHeight="365760"/>
  <slicer name="Months (Order_Date)" xr10:uid="{880F4560-5EDF-4114-A4F3-4103D8145DF8}" cache="Slicer_Months__Order_Date" caption="Months " startItem="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BEB2D9-6F47-4264-A165-541B265D1F9C}" name="data" displayName="data" ref="A1:I201" totalsRowShown="0" dataDxfId="163" headerRowBorderDxfId="164" tableBorderDxfId="162" totalsRowBorderDxfId="161">
  <autoFilter ref="A1:I201" xr:uid="{B2BEB2D9-6F47-4264-A165-541B265D1F9C}"/>
  <tableColumns count="9">
    <tableColumn id="1" xr3:uid="{EB473252-F9BD-4676-9592-CEA295D92FA5}" name="Customer_ID" dataDxfId="160"/>
    <tableColumn id="2" xr3:uid="{CF9C8B97-8420-4E09-8D9D-120C44896655}" name="Customer_Name" dataDxfId="159"/>
    <tableColumn id="3" xr3:uid="{DAFE5E9C-A4F5-413A-B71E-65291A49097E}" name="Region" dataDxfId="158"/>
    <tableColumn id="4" xr3:uid="{756714FC-AC06-44A4-86C5-F6D749CCB3A0}" name="Product_Category" dataDxfId="157"/>
    <tableColumn id="5" xr3:uid="{D45814DE-BF05-4F13-BD1C-91403CECB1D8}" name="Sales" dataDxfId="156"/>
    <tableColumn id="6" xr3:uid="{3191CFB1-AC1E-467E-8EA4-06AB78226810}" name="Quantity" dataDxfId="155"/>
    <tableColumn id="7" xr3:uid="{2EC91E45-9889-4A24-9AFD-C34AE17CA56A}" name="Discount" dataDxfId="154"/>
    <tableColumn id="8" xr3:uid="{FCCDADE6-0526-4323-AC96-7A8F698A2EEF}" name="Order_Date" dataDxfId="153"/>
    <tableColumn id="9" xr3:uid="{156E5960-31D6-4E44-97DA-72B939B5AEF1}" name="Profit" dataDxfId="15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567CCD-ED6B-4119-B2E2-0665E0801233}" name="Highlight" displayName="Highlight" ref="E2:M29" totalsRowShown="0" dataDxfId="151">
  <autoFilter ref="E2:M29" xr:uid="{21567CCD-ED6B-4119-B2E2-0665E0801233}"/>
  <sortState xmlns:xlrd2="http://schemas.microsoft.com/office/spreadsheetml/2017/richdata2" ref="E3:M29">
    <sortCondition ref="E2:E29"/>
  </sortState>
  <tableColumns count="9">
    <tableColumn id="1" xr3:uid="{BECDBBDE-EBFA-436A-92C2-789B922157F0}" name="customer ID" dataDxfId="150"/>
    <tableColumn id="2" xr3:uid="{F7D8962A-BE3F-455D-A5D9-543A19280535}" name="Customer Name" dataDxfId="149"/>
    <tableColumn id="3" xr3:uid="{77C08DB3-A68E-467A-8DD7-60C646DFABE5}" name="Order Count" dataDxfId="148">
      <calculatedColumnFormula>COUNTIF(data!$B$2:$B$201,F3)</calculatedColumnFormula>
    </tableColumn>
    <tableColumn id="4" xr3:uid="{2F05DC2D-314B-46CC-BE3C-FEBB2089F1DF}" name="Total Quanitiy" dataDxfId="147">
      <calculatedColumnFormula>SUMIF(data!$B$2:$B$201, F3, data!$F$2:$F$201)</calculatedColumnFormula>
    </tableColumn>
    <tableColumn id="5" xr3:uid="{EC6C897B-B9E8-4E6A-9F72-9DF429A7B23B}" name="Total Sales" dataDxfId="146">
      <calculatedColumnFormula>SUMIF(data!$B$2:$B$201, F3, data!$E$2:$E$201)</calculatedColumnFormula>
    </tableColumn>
    <tableColumn id="6" xr3:uid="{F5158F85-1B58-49A1-A246-0874AC5B94DB}" name="Total Profit" dataDxfId="145">
      <calculatedColumnFormula>SUMIF(data!$B$2:$B$201, F3, data!$I$2:$I$201)</calculatedColumnFormula>
    </tableColumn>
    <tableColumn id="7" xr3:uid="{027AF747-8F99-4479-AE4C-A324CF605E72}" name="Avg Discount" dataDxfId="144">
      <calculatedColumnFormula>ROUND(AVERAGEIF(data!$B$2:$B$201, F3, data!$G$2:$G$201)*100, 0)</calculatedColumnFormula>
    </tableColumn>
    <tableColumn id="8" xr3:uid="{DB641EB8-FEE4-4C72-8F0B-EC2654FB79B4}" name="Q7. Hight Value Customer" dataDxfId="143">
      <calculatedColumnFormula>IF(RANK(I3, $I$3:$I$29,0)&lt;=10, "YES", "NO")</calculatedColumnFormula>
    </tableColumn>
    <tableColumn id="9" xr3:uid="{BDF9B7F0-B307-473C-BF08-56F4EDCC646E}" name="Q6. TimeStamp" dataDxfId="142">
      <calculatedColumnFormula>NOW()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0583E5-9588-4BB5-B677-1D6A405FA230}" name="Statistics" displayName="Statistics" ref="K2:M15" totalsRowShown="0" headerRowDxfId="141" headerRowBorderDxfId="140" tableBorderDxfId="139" totalsRowBorderDxfId="138">
  <autoFilter ref="K2:M15" xr:uid="{2C0583E5-9588-4BB5-B677-1D6A405FA230}"/>
  <tableColumns count="3">
    <tableColumn id="1" xr3:uid="{C924EFB2-730C-4E5B-B296-B0995E6BEF4B}" name="Statistics" dataDxfId="137"/>
    <tableColumn id="2" xr3:uid="{C0CDA319-C39C-4D71-B8CD-122017AB6991}" name="Sales" dataDxfId="136"/>
    <tableColumn id="3" xr3:uid="{6AD1C668-7F04-4A70-BD8E-9BB0041441C9}" name="Profit" dataDxfId="135"/>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01D30B1-F682-4E0B-ABC3-642EB2245494}" sourceName="Order_Date">
  <pivotTables>
    <pivotTable tabId="6" name="PivotTable6"/>
  </pivotTables>
  <state minimalRefreshVersion="6" lastRefreshVersion="6" pivotCacheId="76953785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FC33B96-8B09-480A-B396-FAEC62D1D3B5}" cache="NativeTimeline_Order_Date" caption="Order_Date" showHeader="0" showHorizontalScrollbar="0" level="2" selectionLevel="2" scrollPosition="2024-12-20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BABB01-D6DE-44FD-89F5-28A14EA5254D}">
  <we:reference id="wa200009404" version="1.0.0.8" store="en-US" storeType="OMEX"/>
  <we:alternateReferences>
    <we:reference id="wa200009404" version="1.0.0.8" store="en-US" storeType="OMEX"/>
  </we:alternateReferences>
  <we:properties>
    <we:property name="claude.fileId" value="&quot;70675e98-23d5-4ebc-90ae-e6013b3e48a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E7377-C743-4912-A01F-CE4BC5A03C52}">
  <dimension ref="A1:X50"/>
  <sheetViews>
    <sheetView showGridLines="0" tabSelected="1" zoomScale="90" zoomScaleNormal="90" workbookViewId="0">
      <selection activeCell="C52" sqref="C52"/>
    </sheetView>
  </sheetViews>
  <sheetFormatPr defaultRowHeight="14.4" x14ac:dyDescent="0.3"/>
  <cols>
    <col min="1" max="2" width="8.88671875" style="57"/>
    <col min="3" max="3" width="36.5546875" style="57" customWidth="1"/>
    <col min="4" max="11" width="8.88671875" style="57"/>
    <col min="12" max="12" width="12.21875" style="57" customWidth="1"/>
    <col min="13" max="13" width="8.88671875" style="57" customWidth="1"/>
    <col min="14" max="21" width="8.88671875" style="57"/>
    <col min="22" max="22" width="0.77734375" style="57" customWidth="1"/>
    <col min="23" max="23" width="10.21875" style="57" customWidth="1"/>
    <col min="24" max="16384" width="8.88671875" style="57"/>
  </cols>
  <sheetData>
    <row r="1" spans="1:24" ht="50.4" customHeight="1" thickTop="1" thickBot="1" x14ac:dyDescent="0.35">
      <c r="A1" s="105"/>
      <c r="B1" s="106"/>
      <c r="C1" s="106"/>
      <c r="D1" s="106"/>
      <c r="E1" s="106"/>
      <c r="F1" s="106"/>
      <c r="G1" s="106"/>
      <c r="H1" s="106"/>
      <c r="I1" s="106"/>
      <c r="J1" s="106"/>
      <c r="K1" s="106"/>
      <c r="L1" s="106"/>
      <c r="M1" s="106"/>
      <c r="N1" s="106"/>
      <c r="O1" s="106"/>
      <c r="P1" s="106"/>
      <c r="Q1" s="106"/>
      <c r="R1" s="106"/>
      <c r="S1" s="106"/>
      <c r="T1" s="106"/>
      <c r="U1" s="106"/>
      <c r="V1" s="106"/>
      <c r="W1" s="107"/>
      <c r="X1" s="63"/>
    </row>
    <row r="2" spans="1:24" ht="15" thickTop="1" x14ac:dyDescent="0.3">
      <c r="A2" s="103"/>
      <c r="O2" s="62"/>
      <c r="W2" s="86"/>
    </row>
    <row r="3" spans="1:24" x14ac:dyDescent="0.3">
      <c r="A3" s="103"/>
      <c r="W3" s="86"/>
    </row>
    <row r="4" spans="1:24" x14ac:dyDescent="0.3">
      <c r="A4" s="103"/>
      <c r="W4" s="86"/>
    </row>
    <row r="5" spans="1:24" x14ac:dyDescent="0.3">
      <c r="A5" s="103"/>
      <c r="W5" s="86"/>
    </row>
    <row r="6" spans="1:24" x14ac:dyDescent="0.3">
      <c r="A6" s="103"/>
      <c r="W6" s="86"/>
    </row>
    <row r="7" spans="1:24" ht="15" thickBot="1" x14ac:dyDescent="0.35">
      <c r="A7" s="88"/>
      <c r="B7" s="84"/>
      <c r="C7" s="84"/>
      <c r="D7" s="84"/>
      <c r="E7" s="84"/>
      <c r="F7" s="84"/>
      <c r="G7" s="84"/>
      <c r="H7" s="84"/>
      <c r="I7" s="84"/>
      <c r="J7" s="84"/>
      <c r="K7" s="84"/>
      <c r="L7" s="84"/>
      <c r="M7" s="84"/>
      <c r="N7" s="84"/>
      <c r="O7" s="84"/>
      <c r="P7" s="84"/>
      <c r="Q7" s="84"/>
      <c r="R7" s="84"/>
      <c r="S7" s="84"/>
      <c r="T7" s="84"/>
      <c r="U7" s="84"/>
      <c r="V7" s="84"/>
      <c r="W7" s="87"/>
    </row>
    <row r="8" spans="1:24" ht="15" thickTop="1" x14ac:dyDescent="0.3">
      <c r="A8" s="103"/>
      <c r="C8" s="85"/>
      <c r="L8" s="85"/>
      <c r="W8" s="86"/>
    </row>
    <row r="9" spans="1:24" x14ac:dyDescent="0.3">
      <c r="A9" s="103"/>
      <c r="C9" s="86"/>
      <c r="L9" s="86"/>
      <c r="W9" s="86"/>
    </row>
    <row r="10" spans="1:24" x14ac:dyDescent="0.3">
      <c r="A10" s="103"/>
      <c r="C10" s="86"/>
      <c r="L10" s="86"/>
      <c r="W10" s="86"/>
    </row>
    <row r="11" spans="1:24" x14ac:dyDescent="0.3">
      <c r="A11" s="103"/>
      <c r="C11" s="86"/>
      <c r="L11" s="86"/>
      <c r="W11" s="86"/>
    </row>
    <row r="12" spans="1:24" x14ac:dyDescent="0.3">
      <c r="A12" s="103"/>
      <c r="C12" s="86"/>
      <c r="L12" s="86"/>
      <c r="W12" s="86"/>
    </row>
    <row r="13" spans="1:24" x14ac:dyDescent="0.3">
      <c r="A13" s="103"/>
      <c r="C13" s="86"/>
      <c r="L13" s="86"/>
      <c r="W13" s="86"/>
    </row>
    <row r="14" spans="1:24" x14ac:dyDescent="0.3">
      <c r="A14" s="103"/>
      <c r="C14" s="86"/>
      <c r="L14" s="86"/>
      <c r="W14" s="86"/>
    </row>
    <row r="15" spans="1:24" x14ac:dyDescent="0.3">
      <c r="A15" s="103"/>
      <c r="C15" s="86"/>
      <c r="L15" s="86"/>
      <c r="W15" s="86"/>
    </row>
    <row r="16" spans="1:24" x14ac:dyDescent="0.3">
      <c r="A16" s="103"/>
      <c r="C16" s="86"/>
      <c r="L16" s="86"/>
      <c r="W16" s="86"/>
    </row>
    <row r="17" spans="1:23" x14ac:dyDescent="0.3">
      <c r="A17" s="103"/>
      <c r="C17" s="86"/>
      <c r="L17" s="86"/>
      <c r="W17" s="86"/>
    </row>
    <row r="18" spans="1:23" x14ac:dyDescent="0.3">
      <c r="A18" s="103"/>
      <c r="C18" s="86"/>
      <c r="L18" s="86"/>
      <c r="W18" s="86"/>
    </row>
    <row r="19" spans="1:23" x14ac:dyDescent="0.3">
      <c r="A19" s="103"/>
      <c r="C19" s="86"/>
      <c r="L19" s="86"/>
      <c r="W19" s="86"/>
    </row>
    <row r="20" spans="1:23" x14ac:dyDescent="0.3">
      <c r="A20" s="103"/>
      <c r="C20" s="86"/>
      <c r="L20" s="86"/>
      <c r="W20" s="86"/>
    </row>
    <row r="21" spans="1:23" x14ac:dyDescent="0.3">
      <c r="A21" s="103"/>
      <c r="C21" s="86"/>
      <c r="L21" s="86"/>
      <c r="W21" s="86"/>
    </row>
    <row r="22" spans="1:23" x14ac:dyDescent="0.3">
      <c r="A22" s="103"/>
      <c r="C22" s="86"/>
      <c r="L22" s="86"/>
      <c r="W22" s="86"/>
    </row>
    <row r="23" spans="1:23" x14ac:dyDescent="0.3">
      <c r="A23" s="103"/>
      <c r="C23" s="86"/>
      <c r="L23" s="86"/>
      <c r="W23" s="86"/>
    </row>
    <row r="24" spans="1:23" x14ac:dyDescent="0.3">
      <c r="A24" s="103"/>
      <c r="C24" s="86"/>
      <c r="L24" s="86"/>
      <c r="W24" s="86"/>
    </row>
    <row r="25" spans="1:23" x14ac:dyDescent="0.3">
      <c r="A25" s="103"/>
      <c r="C25" s="86"/>
      <c r="L25" s="86"/>
      <c r="W25" s="86"/>
    </row>
    <row r="26" spans="1:23" x14ac:dyDescent="0.3">
      <c r="A26" s="103"/>
      <c r="C26" s="86"/>
      <c r="L26" s="86"/>
      <c r="W26" s="86"/>
    </row>
    <row r="27" spans="1:23" x14ac:dyDescent="0.3">
      <c r="A27" s="103"/>
      <c r="C27" s="86"/>
      <c r="L27" s="86"/>
      <c r="W27" s="86"/>
    </row>
    <row r="28" spans="1:23" x14ac:dyDescent="0.3">
      <c r="A28" s="103"/>
      <c r="C28" s="86"/>
      <c r="L28" s="86"/>
      <c r="W28" s="86"/>
    </row>
    <row r="29" spans="1:23" x14ac:dyDescent="0.3">
      <c r="A29" s="103"/>
      <c r="C29" s="86"/>
      <c r="L29" s="86"/>
      <c r="W29" s="86"/>
    </row>
    <row r="30" spans="1:23" ht="83.4" customHeight="1" thickBot="1" x14ac:dyDescent="0.35">
      <c r="A30" s="88"/>
      <c r="B30" s="84"/>
      <c r="C30" s="87"/>
      <c r="D30" s="88"/>
      <c r="E30" s="84"/>
      <c r="F30" s="84"/>
      <c r="G30" s="84"/>
      <c r="H30" s="84"/>
      <c r="I30" s="84"/>
      <c r="J30" s="84"/>
      <c r="K30" s="84"/>
      <c r="L30" s="87"/>
      <c r="M30" s="84"/>
      <c r="N30" s="84"/>
      <c r="O30" s="84"/>
      <c r="P30" s="84"/>
      <c r="Q30" s="84"/>
      <c r="R30" s="84"/>
      <c r="S30" s="84"/>
      <c r="T30" s="84"/>
      <c r="U30" s="84"/>
      <c r="V30" s="84"/>
      <c r="W30" s="87"/>
    </row>
    <row r="31" spans="1:23" ht="35.4" customHeight="1" thickTop="1" thickBot="1" x14ac:dyDescent="0.35">
      <c r="A31" s="108" t="s">
        <v>159</v>
      </c>
      <c r="B31" s="108"/>
      <c r="C31" s="109"/>
      <c r="L31" s="86"/>
      <c r="W31" s="86"/>
    </row>
    <row r="32" spans="1:23" ht="4.2" hidden="1" customHeight="1" x14ac:dyDescent="0.3">
      <c r="A32" s="104"/>
      <c r="B32" s="101"/>
      <c r="C32" s="102"/>
      <c r="L32" s="86"/>
      <c r="W32" s="86"/>
    </row>
    <row r="33" spans="1:23" ht="4.8" hidden="1" customHeight="1" x14ac:dyDescent="0.3">
      <c r="A33" s="104"/>
      <c r="B33" s="101"/>
      <c r="C33" s="102"/>
      <c r="L33" s="86"/>
      <c r="W33" s="86"/>
    </row>
    <row r="34" spans="1:23" ht="10.199999999999999" customHeight="1" thickTop="1" x14ac:dyDescent="0.3">
      <c r="A34" s="104"/>
      <c r="B34" s="101"/>
      <c r="C34" s="102"/>
      <c r="L34" s="86"/>
      <c r="W34" s="86"/>
    </row>
    <row r="35" spans="1:23" ht="16.8" customHeight="1" x14ac:dyDescent="0.3">
      <c r="A35" s="110" t="s">
        <v>161</v>
      </c>
      <c r="B35" s="110"/>
      <c r="C35" s="111"/>
      <c r="L35" s="86"/>
      <c r="W35" s="86"/>
    </row>
    <row r="36" spans="1:23" ht="30.6" customHeight="1" x14ac:dyDescent="0.3">
      <c r="A36" s="110"/>
      <c r="B36" s="110"/>
      <c r="C36" s="111"/>
      <c r="L36" s="86"/>
      <c r="W36" s="86"/>
    </row>
    <row r="37" spans="1:23" ht="17.399999999999999" customHeight="1" x14ac:dyDescent="0.3">
      <c r="A37" s="110" t="s">
        <v>162</v>
      </c>
      <c r="B37" s="110"/>
      <c r="C37" s="111"/>
      <c r="L37" s="86"/>
      <c r="W37" s="86"/>
    </row>
    <row r="38" spans="1:23" ht="28.2" customHeight="1" x14ac:dyDescent="0.3">
      <c r="A38" s="110"/>
      <c r="B38" s="110"/>
      <c r="C38" s="111"/>
      <c r="L38" s="86"/>
      <c r="W38" s="86"/>
    </row>
    <row r="39" spans="1:23" x14ac:dyDescent="0.3">
      <c r="A39" s="110" t="s">
        <v>163</v>
      </c>
      <c r="B39" s="110"/>
      <c r="C39" s="111"/>
      <c r="L39" s="86"/>
      <c r="W39" s="86"/>
    </row>
    <row r="40" spans="1:23" ht="30.6" customHeight="1" x14ac:dyDescent="0.3">
      <c r="A40" s="110"/>
      <c r="B40" s="110"/>
      <c r="C40" s="111"/>
      <c r="L40" s="86"/>
      <c r="W40" s="86"/>
    </row>
    <row r="41" spans="1:23" x14ac:dyDescent="0.3">
      <c r="A41" s="110" t="s">
        <v>164</v>
      </c>
      <c r="B41" s="110"/>
      <c r="C41" s="111"/>
      <c r="L41" s="86"/>
      <c r="W41" s="86"/>
    </row>
    <row r="42" spans="1:23" ht="51.6" customHeight="1" x14ac:dyDescent="0.3">
      <c r="A42" s="110"/>
      <c r="B42" s="110"/>
      <c r="C42" s="111"/>
      <c r="L42" s="86"/>
      <c r="W42" s="86"/>
    </row>
    <row r="43" spans="1:23" x14ac:dyDescent="0.3">
      <c r="A43" s="110" t="s">
        <v>165</v>
      </c>
      <c r="B43" s="110"/>
      <c r="C43" s="111"/>
      <c r="L43" s="86"/>
      <c r="W43" s="86"/>
    </row>
    <row r="44" spans="1:23" ht="35.4" customHeight="1" x14ac:dyDescent="0.3">
      <c r="A44" s="110"/>
      <c r="B44" s="110"/>
      <c r="C44" s="111"/>
      <c r="L44" s="86"/>
      <c r="W44" s="86"/>
    </row>
    <row r="45" spans="1:23" x14ac:dyDescent="0.3">
      <c r="A45" s="110" t="s">
        <v>166</v>
      </c>
      <c r="B45" s="110"/>
      <c r="C45" s="111"/>
      <c r="L45" s="86"/>
      <c r="W45" s="86"/>
    </row>
    <row r="46" spans="1:23" ht="37.799999999999997" customHeight="1" x14ac:dyDescent="0.3">
      <c r="A46" s="110"/>
      <c r="B46" s="110"/>
      <c r="C46" s="111"/>
      <c r="L46" s="86"/>
      <c r="W46" s="86"/>
    </row>
    <row r="47" spans="1:23" ht="6.6" hidden="1" customHeight="1" x14ac:dyDescent="0.3">
      <c r="A47" s="103"/>
      <c r="C47" s="86"/>
      <c r="L47" s="86"/>
      <c r="W47" s="86"/>
    </row>
    <row r="48" spans="1:23" hidden="1" x14ac:dyDescent="0.3">
      <c r="A48" s="103"/>
      <c r="C48" s="86"/>
      <c r="L48" s="86"/>
      <c r="W48" s="86"/>
    </row>
    <row r="49" spans="1:23" ht="15" thickBot="1" x14ac:dyDescent="0.35">
      <c r="A49" s="88"/>
      <c r="B49" s="84"/>
      <c r="C49" s="87"/>
      <c r="D49" s="84"/>
      <c r="E49" s="84"/>
      <c r="F49" s="84"/>
      <c r="G49" s="84"/>
      <c r="H49" s="84"/>
      <c r="I49" s="84"/>
      <c r="J49" s="84"/>
      <c r="K49" s="84"/>
      <c r="L49" s="87"/>
      <c r="M49" s="84"/>
      <c r="N49" s="84"/>
      <c r="O49" s="84"/>
      <c r="P49" s="84"/>
      <c r="Q49" s="84"/>
      <c r="R49" s="84"/>
      <c r="S49" s="84"/>
      <c r="T49" s="84"/>
      <c r="U49" s="84"/>
      <c r="V49" s="84"/>
      <c r="W49" s="87"/>
    </row>
    <row r="50" spans="1:23" ht="15" thickTop="1" x14ac:dyDescent="0.3"/>
  </sheetData>
  <mergeCells count="7">
    <mergeCell ref="A31:C31"/>
    <mergeCell ref="A41:C42"/>
    <mergeCell ref="A43:C44"/>
    <mergeCell ref="A45:C46"/>
    <mergeCell ref="A35:C36"/>
    <mergeCell ref="A37:C38"/>
    <mergeCell ref="A39:C4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653D-0716-4383-9D0F-531E42681801}">
  <dimension ref="A1:S201"/>
  <sheetViews>
    <sheetView zoomScale="130" zoomScaleNormal="130" workbookViewId="0">
      <selection activeCell="B6" sqref="B6"/>
    </sheetView>
  </sheetViews>
  <sheetFormatPr defaultRowHeight="14.4" x14ac:dyDescent="0.3"/>
  <cols>
    <col min="1" max="1" width="13.77734375" customWidth="1"/>
    <col min="2" max="2" width="17" customWidth="1"/>
    <col min="3" max="3" width="8.88671875" customWidth="1"/>
    <col min="4" max="4" width="18.109375" customWidth="1"/>
    <col min="5" max="5" width="9.88671875" style="1" bestFit="1" customWidth="1"/>
    <col min="6" max="7" width="10.21875" customWidth="1"/>
    <col min="8" max="8" width="12.5546875" style="2" customWidth="1"/>
    <col min="9" max="9" width="8.88671875" style="1"/>
    <col min="11" max="11" width="16.44140625" bestFit="1" customWidth="1"/>
    <col min="12" max="12" width="12.6640625" bestFit="1" customWidth="1"/>
    <col min="13" max="13" width="13.21875" bestFit="1" customWidth="1"/>
    <col min="14" max="14" width="12.6640625" bestFit="1" customWidth="1"/>
    <col min="15" max="15" width="12" bestFit="1" customWidth="1"/>
    <col min="16" max="16" width="12.77734375" bestFit="1" customWidth="1"/>
    <col min="17" max="17" width="12" bestFit="1" customWidth="1"/>
    <col min="18" max="18" width="12.6640625" bestFit="1" customWidth="1"/>
    <col min="19" max="19" width="12" bestFit="1" customWidth="1"/>
  </cols>
  <sheetData>
    <row r="1" spans="1:19" ht="15" thickBot="1" x14ac:dyDescent="0.35">
      <c r="A1" s="3" t="s">
        <v>0</v>
      </c>
      <c r="B1" s="4" t="s">
        <v>1</v>
      </c>
      <c r="C1" s="4" t="s">
        <v>2</v>
      </c>
      <c r="D1" s="4" t="s">
        <v>3</v>
      </c>
      <c r="E1" s="5" t="s">
        <v>4</v>
      </c>
      <c r="F1" s="4" t="s">
        <v>5</v>
      </c>
      <c r="G1" s="4" t="s">
        <v>6</v>
      </c>
      <c r="H1" s="6" t="s">
        <v>7</v>
      </c>
      <c r="I1" s="7" t="s">
        <v>8</v>
      </c>
    </row>
    <row r="2" spans="1:19" ht="15" thickBot="1" x14ac:dyDescent="0.35">
      <c r="A2" s="64" t="s">
        <v>9</v>
      </c>
      <c r="B2" s="65" t="s">
        <v>10</v>
      </c>
      <c r="C2" s="65" t="s">
        <v>11</v>
      </c>
      <c r="D2" s="65" t="s">
        <v>12</v>
      </c>
      <c r="E2" s="66">
        <v>1036.0899999999999</v>
      </c>
      <c r="F2" s="65">
        <v>4</v>
      </c>
      <c r="G2" s="65">
        <v>0.2</v>
      </c>
      <c r="H2" s="67">
        <v>45392</v>
      </c>
      <c r="I2" s="68">
        <v>331.55</v>
      </c>
    </row>
    <row r="3" spans="1:19" ht="15" thickBot="1" x14ac:dyDescent="0.35">
      <c r="A3" s="64" t="s">
        <v>13</v>
      </c>
      <c r="B3" s="65" t="s">
        <v>14</v>
      </c>
      <c r="C3" s="65" t="s">
        <v>11</v>
      </c>
      <c r="D3" s="65" t="s">
        <v>15</v>
      </c>
      <c r="E3" s="66">
        <v>1101.28</v>
      </c>
      <c r="F3" s="65">
        <v>3</v>
      </c>
      <c r="G3" s="65">
        <v>0.2</v>
      </c>
      <c r="H3" s="67">
        <v>45393</v>
      </c>
      <c r="I3" s="68">
        <v>440.51</v>
      </c>
    </row>
    <row r="4" spans="1:19" ht="15" thickBot="1" x14ac:dyDescent="0.35">
      <c r="A4" s="64" t="s">
        <v>16</v>
      </c>
      <c r="B4" s="65" t="s">
        <v>17</v>
      </c>
      <c r="C4" s="65" t="s">
        <v>18</v>
      </c>
      <c r="D4" s="65" t="s">
        <v>12</v>
      </c>
      <c r="E4" s="66">
        <v>713.34</v>
      </c>
      <c r="F4" s="65">
        <v>17</v>
      </c>
      <c r="G4" s="65">
        <v>0</v>
      </c>
      <c r="H4" s="67">
        <v>45396</v>
      </c>
      <c r="I4" s="68">
        <v>285.33999999999997</v>
      </c>
    </row>
    <row r="5" spans="1:19" ht="15" thickBot="1" x14ac:dyDescent="0.35">
      <c r="A5" s="64" t="s">
        <v>19</v>
      </c>
      <c r="B5" s="65" t="s">
        <v>14</v>
      </c>
      <c r="C5" s="65" t="s">
        <v>20</v>
      </c>
      <c r="D5" s="65" t="s">
        <v>21</v>
      </c>
      <c r="E5" s="66">
        <v>760.93</v>
      </c>
      <c r="F5" s="65">
        <v>4</v>
      </c>
      <c r="G5" s="65">
        <v>0.15</v>
      </c>
      <c r="H5" s="67">
        <v>45396</v>
      </c>
      <c r="I5" s="68">
        <v>161.69999999999999</v>
      </c>
    </row>
    <row r="6" spans="1:19" ht="15" thickBot="1" x14ac:dyDescent="0.35">
      <c r="A6" s="64" t="s">
        <v>22</v>
      </c>
      <c r="B6" s="65" t="s">
        <v>23</v>
      </c>
      <c r="C6" s="65" t="s">
        <v>24</v>
      </c>
      <c r="D6" s="65" t="s">
        <v>12</v>
      </c>
      <c r="E6" s="66">
        <v>847</v>
      </c>
      <c r="F6" s="65">
        <v>12</v>
      </c>
      <c r="G6" s="65">
        <v>0.2</v>
      </c>
      <c r="H6" s="67">
        <v>45397</v>
      </c>
      <c r="I6" s="68">
        <v>271.04000000000002</v>
      </c>
    </row>
    <row r="7" spans="1:19" ht="15" thickBot="1" x14ac:dyDescent="0.35">
      <c r="A7" s="64" t="s">
        <v>25</v>
      </c>
      <c r="B7" s="65" t="s">
        <v>26</v>
      </c>
      <c r="C7" s="65" t="s">
        <v>24</v>
      </c>
      <c r="D7" s="65" t="s">
        <v>27</v>
      </c>
      <c r="E7" s="66">
        <v>965.64</v>
      </c>
      <c r="F7" s="65">
        <v>8</v>
      </c>
      <c r="G7" s="65">
        <v>0.1</v>
      </c>
      <c r="H7" s="67">
        <v>45398</v>
      </c>
      <c r="I7" s="68">
        <v>304.18</v>
      </c>
    </row>
    <row r="8" spans="1:19" ht="15" thickBot="1" x14ac:dyDescent="0.35">
      <c r="A8" s="64" t="s">
        <v>28</v>
      </c>
      <c r="B8" s="65" t="s">
        <v>29</v>
      </c>
      <c r="C8" s="65" t="s">
        <v>11</v>
      </c>
      <c r="D8" s="65" t="s">
        <v>21</v>
      </c>
      <c r="E8" s="66">
        <v>1317.53</v>
      </c>
      <c r="F8" s="65">
        <v>12</v>
      </c>
      <c r="G8" s="65">
        <v>0.05</v>
      </c>
      <c r="H8" s="67">
        <v>45398</v>
      </c>
      <c r="I8" s="68">
        <v>312.91000000000003</v>
      </c>
    </row>
    <row r="9" spans="1:19" ht="15" thickBot="1" x14ac:dyDescent="0.35">
      <c r="A9" s="64" t="s">
        <v>30</v>
      </c>
      <c r="B9" s="65" t="s">
        <v>31</v>
      </c>
      <c r="C9" s="65" t="s">
        <v>18</v>
      </c>
      <c r="D9" s="65" t="s">
        <v>27</v>
      </c>
      <c r="E9" s="66">
        <v>1074.47</v>
      </c>
      <c r="F9" s="65">
        <v>6</v>
      </c>
      <c r="G9" s="65">
        <v>0.2</v>
      </c>
      <c r="H9" s="67">
        <v>45401</v>
      </c>
      <c r="I9" s="68">
        <v>300.85000000000002</v>
      </c>
      <c r="K9" s="8"/>
      <c r="L9" s="8"/>
      <c r="M9" s="8"/>
      <c r="N9" s="8"/>
      <c r="O9" s="8"/>
      <c r="P9" s="8"/>
      <c r="Q9" s="8"/>
      <c r="R9" s="8"/>
      <c r="S9" s="8"/>
    </row>
    <row r="10" spans="1:19" ht="15" thickBot="1" x14ac:dyDescent="0.35">
      <c r="A10" s="64" t="s">
        <v>32</v>
      </c>
      <c r="B10" s="65" t="s">
        <v>33</v>
      </c>
      <c r="C10" s="65" t="s">
        <v>34</v>
      </c>
      <c r="D10" s="65" t="s">
        <v>12</v>
      </c>
      <c r="E10" s="66">
        <v>501.54</v>
      </c>
      <c r="F10" s="65">
        <v>11</v>
      </c>
      <c r="G10" s="65">
        <v>0.05</v>
      </c>
      <c r="H10" s="67">
        <v>45401</v>
      </c>
      <c r="I10" s="68">
        <v>190.59</v>
      </c>
      <c r="K10" s="56"/>
      <c r="L10" s="20"/>
      <c r="M10" s="20"/>
      <c r="N10" s="8"/>
      <c r="O10" s="8"/>
      <c r="P10" s="8"/>
      <c r="Q10" s="8"/>
      <c r="R10" s="8"/>
      <c r="S10" s="8"/>
    </row>
    <row r="11" spans="1:19" ht="15" thickBot="1" x14ac:dyDescent="0.35">
      <c r="A11" s="64" t="s">
        <v>35</v>
      </c>
      <c r="B11" s="65" t="s">
        <v>36</v>
      </c>
      <c r="C11" s="65" t="s">
        <v>34</v>
      </c>
      <c r="D11" s="65" t="s">
        <v>15</v>
      </c>
      <c r="E11" s="66">
        <v>737.31</v>
      </c>
      <c r="F11" s="65">
        <v>2</v>
      </c>
      <c r="G11" s="65">
        <v>0.05</v>
      </c>
      <c r="H11" s="67">
        <v>45401</v>
      </c>
      <c r="I11" s="68">
        <v>350.22</v>
      </c>
      <c r="K11" s="20"/>
      <c r="L11" s="16"/>
      <c r="M11" s="16"/>
      <c r="N11" s="8"/>
      <c r="O11" s="8"/>
      <c r="P11" s="8"/>
      <c r="Q11" s="8"/>
      <c r="R11" s="8"/>
      <c r="S11" s="8"/>
    </row>
    <row r="12" spans="1:19" ht="15" thickBot="1" x14ac:dyDescent="0.35">
      <c r="A12" s="64" t="s">
        <v>37</v>
      </c>
      <c r="B12" s="65" t="s">
        <v>38</v>
      </c>
      <c r="C12" s="65" t="s">
        <v>11</v>
      </c>
      <c r="D12" s="65" t="s">
        <v>39</v>
      </c>
      <c r="E12" s="66">
        <v>1572.82</v>
      </c>
      <c r="F12" s="65">
        <v>6</v>
      </c>
      <c r="G12" s="65">
        <v>0.05</v>
      </c>
      <c r="H12" s="67">
        <v>45402</v>
      </c>
      <c r="I12" s="68">
        <v>672.38</v>
      </c>
      <c r="K12" s="16"/>
      <c r="L12" s="16"/>
      <c r="M12" s="16"/>
      <c r="N12" s="8"/>
      <c r="O12" s="8"/>
      <c r="P12" s="8"/>
      <c r="Q12" s="8"/>
      <c r="R12" s="8"/>
      <c r="S12" s="8"/>
    </row>
    <row r="13" spans="1:19" ht="15" thickBot="1" x14ac:dyDescent="0.35">
      <c r="A13" s="64" t="s">
        <v>37</v>
      </c>
      <c r="B13" s="65" t="s">
        <v>36</v>
      </c>
      <c r="C13" s="65" t="s">
        <v>34</v>
      </c>
      <c r="D13" s="65" t="s">
        <v>12</v>
      </c>
      <c r="E13" s="66">
        <v>1343.13</v>
      </c>
      <c r="F13" s="65">
        <v>14</v>
      </c>
      <c r="G13" s="65">
        <v>0.15</v>
      </c>
      <c r="H13" s="67">
        <v>45404</v>
      </c>
      <c r="I13" s="68">
        <v>456.66</v>
      </c>
      <c r="K13" s="16"/>
      <c r="L13" s="16"/>
      <c r="M13" s="16"/>
      <c r="N13" s="8"/>
      <c r="O13" s="8"/>
      <c r="P13" s="8"/>
      <c r="Q13" s="8"/>
      <c r="R13" s="8"/>
      <c r="S13" s="8"/>
    </row>
    <row r="14" spans="1:19" ht="15" thickBot="1" x14ac:dyDescent="0.35">
      <c r="A14" s="64" t="s">
        <v>25</v>
      </c>
      <c r="B14" s="65" t="s">
        <v>26</v>
      </c>
      <c r="C14" s="65" t="s">
        <v>34</v>
      </c>
      <c r="D14" s="65" t="s">
        <v>12</v>
      </c>
      <c r="E14" s="66">
        <v>1191.58</v>
      </c>
      <c r="F14" s="65">
        <v>14</v>
      </c>
      <c r="G14" s="65">
        <v>0.05</v>
      </c>
      <c r="H14" s="67">
        <v>45406</v>
      </c>
      <c r="I14" s="68">
        <v>452.8</v>
      </c>
      <c r="K14" s="16"/>
      <c r="L14" s="16"/>
      <c r="M14" s="16"/>
      <c r="N14" s="8"/>
      <c r="O14" s="8"/>
      <c r="P14" s="8"/>
      <c r="Q14" s="8"/>
      <c r="R14" s="8"/>
      <c r="S14" s="8"/>
    </row>
    <row r="15" spans="1:19" ht="15" thickBot="1" x14ac:dyDescent="0.35">
      <c r="A15" s="64" t="s">
        <v>40</v>
      </c>
      <c r="B15" s="65" t="s">
        <v>14</v>
      </c>
      <c r="C15" s="65" t="s">
        <v>11</v>
      </c>
      <c r="D15" s="65" t="s">
        <v>27</v>
      </c>
      <c r="E15" s="66">
        <v>822.28</v>
      </c>
      <c r="F15" s="65">
        <v>7</v>
      </c>
      <c r="G15" s="65">
        <v>0.05</v>
      </c>
      <c r="H15" s="67">
        <v>45406</v>
      </c>
      <c r="I15" s="68">
        <v>273.41000000000003</v>
      </c>
      <c r="K15" s="16"/>
      <c r="L15" s="16"/>
      <c r="M15" s="16"/>
      <c r="N15" s="8"/>
      <c r="O15" s="8"/>
      <c r="P15" s="8"/>
      <c r="Q15" s="8"/>
      <c r="R15" s="8"/>
      <c r="S15" s="8"/>
    </row>
    <row r="16" spans="1:19" ht="15" thickBot="1" x14ac:dyDescent="0.35">
      <c r="A16" s="64" t="s">
        <v>41</v>
      </c>
      <c r="B16" s="65" t="s">
        <v>42</v>
      </c>
      <c r="C16" s="65" t="s">
        <v>24</v>
      </c>
      <c r="D16" s="65" t="s">
        <v>27</v>
      </c>
      <c r="E16" s="66">
        <v>521.66999999999996</v>
      </c>
      <c r="F16" s="65">
        <v>15</v>
      </c>
      <c r="G16" s="65">
        <v>0.15</v>
      </c>
      <c r="H16" s="67">
        <v>45409</v>
      </c>
      <c r="I16" s="68">
        <v>155.19999999999999</v>
      </c>
      <c r="K16" s="16"/>
      <c r="L16" s="16"/>
      <c r="M16" s="16"/>
      <c r="N16" s="8"/>
      <c r="O16" s="8"/>
      <c r="P16" s="8"/>
      <c r="Q16" s="8"/>
      <c r="R16" s="8"/>
      <c r="S16" s="8"/>
    </row>
    <row r="17" spans="1:19" ht="15" thickBot="1" x14ac:dyDescent="0.35">
      <c r="A17" s="64" t="s">
        <v>19</v>
      </c>
      <c r="B17" s="65" t="s">
        <v>43</v>
      </c>
      <c r="C17" s="65" t="s">
        <v>20</v>
      </c>
      <c r="D17" s="65" t="s">
        <v>21</v>
      </c>
      <c r="E17" s="66">
        <v>1502.93</v>
      </c>
      <c r="F17" s="65">
        <v>14</v>
      </c>
      <c r="G17" s="65">
        <v>0.2</v>
      </c>
      <c r="H17" s="67">
        <v>45410</v>
      </c>
      <c r="I17" s="68">
        <v>300.58999999999997</v>
      </c>
      <c r="K17" s="8"/>
      <c r="L17" s="16"/>
      <c r="M17" s="16"/>
      <c r="N17" s="8"/>
      <c r="O17" s="8"/>
      <c r="P17" s="8"/>
      <c r="Q17" s="8"/>
      <c r="R17" s="8"/>
      <c r="S17" s="8"/>
    </row>
    <row r="18" spans="1:19" ht="15" thickBot="1" x14ac:dyDescent="0.35">
      <c r="A18" s="64" t="s">
        <v>44</v>
      </c>
      <c r="B18" s="65" t="s">
        <v>14</v>
      </c>
      <c r="C18" s="65" t="s">
        <v>20</v>
      </c>
      <c r="D18" s="65" t="s">
        <v>12</v>
      </c>
      <c r="E18" s="66">
        <v>877.58</v>
      </c>
      <c r="F18" s="65">
        <v>10</v>
      </c>
      <c r="G18" s="65">
        <v>0.15</v>
      </c>
      <c r="H18" s="67">
        <v>45411</v>
      </c>
      <c r="I18" s="68">
        <v>298.38</v>
      </c>
      <c r="K18" s="8"/>
      <c r="L18" s="16"/>
      <c r="M18" s="16"/>
      <c r="N18" s="8"/>
      <c r="O18" s="8"/>
      <c r="P18" s="8"/>
      <c r="Q18" s="8"/>
      <c r="R18" s="8"/>
      <c r="S18" s="8"/>
    </row>
    <row r="19" spans="1:19" ht="15" thickBot="1" x14ac:dyDescent="0.35">
      <c r="A19" s="64" t="s">
        <v>28</v>
      </c>
      <c r="B19" s="65" t="s">
        <v>45</v>
      </c>
      <c r="C19" s="65" t="s">
        <v>11</v>
      </c>
      <c r="D19" s="65" t="s">
        <v>12</v>
      </c>
      <c r="E19" s="66">
        <v>636.70000000000005</v>
      </c>
      <c r="F19" s="65">
        <v>4</v>
      </c>
      <c r="G19" s="65">
        <v>0.2</v>
      </c>
      <c r="H19" s="67">
        <v>45411</v>
      </c>
      <c r="I19" s="68">
        <v>203.74</v>
      </c>
      <c r="K19" s="17"/>
      <c r="L19" s="16"/>
      <c r="M19" s="16"/>
      <c r="N19" s="17"/>
      <c r="O19" s="17"/>
      <c r="P19" s="17"/>
      <c r="Q19" s="8"/>
      <c r="R19" s="8"/>
      <c r="S19" s="8"/>
    </row>
    <row r="20" spans="1:19" ht="15" thickBot="1" x14ac:dyDescent="0.35">
      <c r="A20" s="64" t="s">
        <v>46</v>
      </c>
      <c r="B20" s="65" t="s">
        <v>47</v>
      </c>
      <c r="C20" s="65" t="s">
        <v>11</v>
      </c>
      <c r="D20" s="65" t="s">
        <v>12</v>
      </c>
      <c r="E20" s="66">
        <v>1506.14</v>
      </c>
      <c r="F20" s="65">
        <v>13</v>
      </c>
      <c r="G20" s="65">
        <v>0.2</v>
      </c>
      <c r="H20" s="67">
        <v>45412</v>
      </c>
      <c r="I20" s="68">
        <v>481.96</v>
      </c>
      <c r="K20" s="16"/>
      <c r="L20" s="16"/>
      <c r="M20" s="16"/>
      <c r="N20" s="16"/>
      <c r="O20" s="16"/>
      <c r="P20" s="16"/>
      <c r="Q20" s="8"/>
      <c r="R20" s="8"/>
      <c r="S20" s="8"/>
    </row>
    <row r="21" spans="1:19" ht="15" thickBot="1" x14ac:dyDescent="0.35">
      <c r="A21" s="64" t="s">
        <v>30</v>
      </c>
      <c r="B21" s="65" t="s">
        <v>31</v>
      </c>
      <c r="C21" s="65" t="s">
        <v>34</v>
      </c>
      <c r="D21" s="65" t="s">
        <v>21</v>
      </c>
      <c r="E21" s="66">
        <v>645.02</v>
      </c>
      <c r="F21" s="65">
        <v>4</v>
      </c>
      <c r="G21" s="65">
        <v>0</v>
      </c>
      <c r="H21" s="67">
        <v>45414</v>
      </c>
      <c r="I21" s="68">
        <v>161.26</v>
      </c>
      <c r="K21" s="16"/>
      <c r="L21" s="16"/>
      <c r="M21" s="16"/>
      <c r="N21" s="16"/>
      <c r="O21" s="16"/>
      <c r="P21" s="16"/>
      <c r="Q21" s="8"/>
      <c r="R21" s="8"/>
      <c r="S21" s="8"/>
    </row>
    <row r="22" spans="1:19" ht="15" thickBot="1" x14ac:dyDescent="0.35">
      <c r="A22" s="64" t="s">
        <v>25</v>
      </c>
      <c r="B22" s="65" t="s">
        <v>48</v>
      </c>
      <c r="C22" s="65" t="s">
        <v>20</v>
      </c>
      <c r="D22" s="65" t="s">
        <v>15</v>
      </c>
      <c r="E22" s="66">
        <v>953.3</v>
      </c>
      <c r="F22" s="65">
        <v>11</v>
      </c>
      <c r="G22" s="65">
        <v>0</v>
      </c>
      <c r="H22" s="67">
        <v>45415</v>
      </c>
      <c r="I22" s="68">
        <v>476.65</v>
      </c>
      <c r="K22" s="16"/>
      <c r="L22" s="16"/>
      <c r="M22" s="16"/>
      <c r="N22" s="16"/>
      <c r="O22" s="16"/>
      <c r="P22" s="16"/>
      <c r="Q22" s="8"/>
      <c r="R22" s="8"/>
      <c r="S22" s="8"/>
    </row>
    <row r="23" spans="1:19" ht="15" thickBot="1" x14ac:dyDescent="0.35">
      <c r="A23" s="64" t="s">
        <v>49</v>
      </c>
      <c r="B23" s="65" t="s">
        <v>14</v>
      </c>
      <c r="C23" s="65" t="s">
        <v>24</v>
      </c>
      <c r="D23" s="65" t="s">
        <v>21</v>
      </c>
      <c r="E23" s="66">
        <v>388.56</v>
      </c>
      <c r="F23" s="65">
        <v>14</v>
      </c>
      <c r="G23" s="65">
        <v>0.15</v>
      </c>
      <c r="H23" s="67">
        <v>45416</v>
      </c>
      <c r="I23" s="68">
        <v>82.57</v>
      </c>
      <c r="K23" s="8"/>
      <c r="L23" s="16"/>
      <c r="M23" s="16"/>
      <c r="N23" s="8"/>
      <c r="O23" s="8"/>
      <c r="P23" s="8"/>
      <c r="Q23" s="8"/>
      <c r="R23" s="8"/>
      <c r="S23" s="8"/>
    </row>
    <row r="24" spans="1:19" ht="15" thickBot="1" x14ac:dyDescent="0.35">
      <c r="A24" s="64" t="s">
        <v>9</v>
      </c>
      <c r="B24" s="65" t="s">
        <v>31</v>
      </c>
      <c r="C24" s="65" t="s">
        <v>11</v>
      </c>
      <c r="D24" s="65" t="s">
        <v>12</v>
      </c>
      <c r="E24" s="66">
        <v>743.17</v>
      </c>
      <c r="F24" s="65">
        <v>9</v>
      </c>
      <c r="G24" s="65">
        <v>0</v>
      </c>
      <c r="H24" s="67">
        <v>45416</v>
      </c>
      <c r="I24" s="68">
        <v>297.27</v>
      </c>
      <c r="K24" s="17"/>
      <c r="L24" s="16"/>
      <c r="M24" s="16"/>
      <c r="N24" s="17"/>
      <c r="O24" s="17"/>
      <c r="P24" s="17"/>
      <c r="Q24" s="17"/>
      <c r="R24" s="17"/>
      <c r="S24" s="17"/>
    </row>
    <row r="25" spans="1:19" ht="15" thickBot="1" x14ac:dyDescent="0.35">
      <c r="A25" s="64" t="s">
        <v>40</v>
      </c>
      <c r="B25" s="65" t="s">
        <v>31</v>
      </c>
      <c r="C25" s="65" t="s">
        <v>34</v>
      </c>
      <c r="D25" s="65" t="s">
        <v>21</v>
      </c>
      <c r="E25" s="66">
        <v>706.37</v>
      </c>
      <c r="F25" s="65">
        <v>6</v>
      </c>
      <c r="G25" s="65">
        <v>0</v>
      </c>
      <c r="H25" s="67">
        <v>45416</v>
      </c>
      <c r="I25" s="68">
        <v>176.59</v>
      </c>
      <c r="K25" s="16"/>
      <c r="L25" s="16"/>
      <c r="M25" s="16"/>
      <c r="N25" s="16"/>
      <c r="O25" s="16"/>
      <c r="P25" s="16"/>
      <c r="Q25" s="16"/>
      <c r="R25" s="16"/>
      <c r="S25" s="16"/>
    </row>
    <row r="26" spans="1:19" ht="15" thickBot="1" x14ac:dyDescent="0.35">
      <c r="A26" s="64" t="s">
        <v>13</v>
      </c>
      <c r="B26" s="65" t="s">
        <v>31</v>
      </c>
      <c r="C26" s="65" t="s">
        <v>34</v>
      </c>
      <c r="D26" s="65" t="s">
        <v>39</v>
      </c>
      <c r="E26" s="66">
        <v>925.31</v>
      </c>
      <c r="F26" s="65">
        <v>8</v>
      </c>
      <c r="G26" s="65">
        <v>0.1</v>
      </c>
      <c r="H26" s="67">
        <v>45418</v>
      </c>
      <c r="I26" s="68">
        <v>374.75</v>
      </c>
      <c r="K26" s="16"/>
      <c r="L26" s="16"/>
      <c r="M26" s="16"/>
      <c r="N26" s="16"/>
      <c r="O26" s="16"/>
      <c r="P26" s="16"/>
      <c r="Q26" s="16"/>
      <c r="R26" s="16"/>
      <c r="S26" s="16"/>
    </row>
    <row r="27" spans="1:19" ht="15" thickBot="1" x14ac:dyDescent="0.35">
      <c r="A27" s="64" t="s">
        <v>35</v>
      </c>
      <c r="B27" s="65" t="s">
        <v>50</v>
      </c>
      <c r="C27" s="65" t="s">
        <v>20</v>
      </c>
      <c r="D27" s="65" t="s">
        <v>21</v>
      </c>
      <c r="E27" s="66">
        <v>1173.1199999999999</v>
      </c>
      <c r="F27" s="65">
        <v>18</v>
      </c>
      <c r="G27" s="65">
        <v>0</v>
      </c>
      <c r="H27" s="67">
        <v>45418</v>
      </c>
      <c r="I27" s="68">
        <v>293.27999999999997</v>
      </c>
    </row>
    <row r="28" spans="1:19" ht="15" thickBot="1" x14ac:dyDescent="0.35">
      <c r="A28" s="64" t="s">
        <v>22</v>
      </c>
      <c r="B28" s="65" t="s">
        <v>51</v>
      </c>
      <c r="C28" s="65" t="s">
        <v>24</v>
      </c>
      <c r="D28" s="65" t="s">
        <v>27</v>
      </c>
      <c r="E28" s="66">
        <v>675.54</v>
      </c>
      <c r="F28" s="65">
        <v>17</v>
      </c>
      <c r="G28" s="65">
        <v>0</v>
      </c>
      <c r="H28" s="67">
        <v>45420</v>
      </c>
      <c r="I28" s="68">
        <v>236.44</v>
      </c>
    </row>
    <row r="29" spans="1:19" ht="15" thickBot="1" x14ac:dyDescent="0.35">
      <c r="A29" s="64" t="s">
        <v>25</v>
      </c>
      <c r="B29" s="65" t="s">
        <v>14</v>
      </c>
      <c r="C29" s="65" t="s">
        <v>34</v>
      </c>
      <c r="D29" s="65" t="s">
        <v>12</v>
      </c>
      <c r="E29" s="66">
        <v>939.09</v>
      </c>
      <c r="F29" s="65">
        <v>2</v>
      </c>
      <c r="G29" s="65">
        <v>0.05</v>
      </c>
      <c r="H29" s="67">
        <v>45422</v>
      </c>
      <c r="I29" s="68">
        <v>356.85</v>
      </c>
    </row>
    <row r="30" spans="1:19" ht="15" thickBot="1" x14ac:dyDescent="0.35">
      <c r="A30" s="64" t="s">
        <v>52</v>
      </c>
      <c r="B30" s="65" t="s">
        <v>53</v>
      </c>
      <c r="C30" s="65" t="s">
        <v>18</v>
      </c>
      <c r="D30" s="65" t="s">
        <v>39</v>
      </c>
      <c r="E30" s="66">
        <v>983.34</v>
      </c>
      <c r="F30" s="65">
        <v>19</v>
      </c>
      <c r="G30" s="65">
        <v>0.1</v>
      </c>
      <c r="H30" s="67">
        <v>45426</v>
      </c>
      <c r="I30" s="68">
        <v>398.25</v>
      </c>
    </row>
    <row r="31" spans="1:19" ht="15" thickBot="1" x14ac:dyDescent="0.35">
      <c r="A31" s="64" t="s">
        <v>52</v>
      </c>
      <c r="B31" s="65" t="s">
        <v>23</v>
      </c>
      <c r="C31" s="65" t="s">
        <v>20</v>
      </c>
      <c r="D31" s="65" t="s">
        <v>21</v>
      </c>
      <c r="E31" s="66">
        <v>801.21</v>
      </c>
      <c r="F31" s="65">
        <v>3</v>
      </c>
      <c r="G31" s="65">
        <v>0.2</v>
      </c>
      <c r="H31" s="67">
        <v>45426</v>
      </c>
      <c r="I31" s="68">
        <v>160.24</v>
      </c>
    </row>
    <row r="32" spans="1:19" ht="15" thickBot="1" x14ac:dyDescent="0.35">
      <c r="A32" s="64" t="s">
        <v>54</v>
      </c>
      <c r="B32" s="65" t="s">
        <v>55</v>
      </c>
      <c r="C32" s="65" t="s">
        <v>24</v>
      </c>
      <c r="D32" s="65" t="s">
        <v>21</v>
      </c>
      <c r="E32" s="66">
        <v>1450.71</v>
      </c>
      <c r="F32" s="65">
        <v>5</v>
      </c>
      <c r="G32" s="65">
        <v>0.1</v>
      </c>
      <c r="H32" s="67">
        <v>45427</v>
      </c>
      <c r="I32" s="68">
        <v>326.41000000000003</v>
      </c>
    </row>
    <row r="33" spans="1:9" ht="15" thickBot="1" x14ac:dyDescent="0.35">
      <c r="A33" s="64" t="s">
        <v>49</v>
      </c>
      <c r="B33" s="65" t="s">
        <v>56</v>
      </c>
      <c r="C33" s="65" t="s">
        <v>34</v>
      </c>
      <c r="D33" s="65" t="s">
        <v>12</v>
      </c>
      <c r="E33" s="66">
        <v>1023.21</v>
      </c>
      <c r="F33" s="65">
        <v>18</v>
      </c>
      <c r="G33" s="65">
        <v>0.05</v>
      </c>
      <c r="H33" s="67">
        <v>45428</v>
      </c>
      <c r="I33" s="68">
        <v>388.82</v>
      </c>
    </row>
    <row r="34" spans="1:9" ht="15" thickBot="1" x14ac:dyDescent="0.35">
      <c r="A34" s="64" t="s">
        <v>28</v>
      </c>
      <c r="B34" s="65" t="s">
        <v>47</v>
      </c>
      <c r="C34" s="65" t="s">
        <v>11</v>
      </c>
      <c r="D34" s="65" t="s">
        <v>27</v>
      </c>
      <c r="E34" s="66">
        <v>853.72</v>
      </c>
      <c r="F34" s="65">
        <v>5</v>
      </c>
      <c r="G34" s="65">
        <v>0.15</v>
      </c>
      <c r="H34" s="67">
        <v>45428</v>
      </c>
      <c r="I34" s="68">
        <v>253.98</v>
      </c>
    </row>
    <row r="35" spans="1:9" ht="15" thickBot="1" x14ac:dyDescent="0.35">
      <c r="A35" s="64" t="s">
        <v>57</v>
      </c>
      <c r="B35" s="65" t="s">
        <v>43</v>
      </c>
      <c r="C35" s="65" t="s">
        <v>20</v>
      </c>
      <c r="D35" s="65" t="s">
        <v>21</v>
      </c>
      <c r="E35" s="66">
        <v>967.89</v>
      </c>
      <c r="F35" s="65">
        <v>10</v>
      </c>
      <c r="G35" s="65">
        <v>0.1</v>
      </c>
      <c r="H35" s="67">
        <v>45429</v>
      </c>
      <c r="I35" s="68">
        <v>217.78</v>
      </c>
    </row>
    <row r="36" spans="1:9" ht="15" thickBot="1" x14ac:dyDescent="0.35">
      <c r="A36" s="64" t="s">
        <v>58</v>
      </c>
      <c r="B36" s="65" t="s">
        <v>53</v>
      </c>
      <c r="C36" s="65" t="s">
        <v>24</v>
      </c>
      <c r="D36" s="65" t="s">
        <v>39</v>
      </c>
      <c r="E36" s="66">
        <v>1200.9000000000001</v>
      </c>
      <c r="F36" s="65">
        <v>14</v>
      </c>
      <c r="G36" s="65">
        <v>0.05</v>
      </c>
      <c r="H36" s="67">
        <v>45429</v>
      </c>
      <c r="I36" s="68">
        <v>513.38</v>
      </c>
    </row>
    <row r="37" spans="1:9" ht="15" thickBot="1" x14ac:dyDescent="0.35">
      <c r="A37" s="64" t="s">
        <v>13</v>
      </c>
      <c r="B37" s="65" t="s">
        <v>26</v>
      </c>
      <c r="C37" s="65" t="s">
        <v>11</v>
      </c>
      <c r="D37" s="65" t="s">
        <v>12</v>
      </c>
      <c r="E37" s="66">
        <v>472.38</v>
      </c>
      <c r="F37" s="65">
        <v>12</v>
      </c>
      <c r="G37" s="65">
        <v>0.2</v>
      </c>
      <c r="H37" s="67">
        <v>45429</v>
      </c>
      <c r="I37" s="68">
        <v>151.16</v>
      </c>
    </row>
    <row r="38" spans="1:9" ht="15" thickBot="1" x14ac:dyDescent="0.35">
      <c r="A38" s="64" t="s">
        <v>9</v>
      </c>
      <c r="B38" s="65" t="s">
        <v>55</v>
      </c>
      <c r="C38" s="65" t="s">
        <v>18</v>
      </c>
      <c r="D38" s="65" t="s">
        <v>39</v>
      </c>
      <c r="E38" s="66">
        <v>840.92</v>
      </c>
      <c r="F38" s="65">
        <v>9</v>
      </c>
      <c r="G38" s="65">
        <v>0.05</v>
      </c>
      <c r="H38" s="67">
        <v>45429</v>
      </c>
      <c r="I38" s="68">
        <v>359.49</v>
      </c>
    </row>
    <row r="39" spans="1:9" ht="15" thickBot="1" x14ac:dyDescent="0.35">
      <c r="A39" s="64" t="s">
        <v>52</v>
      </c>
      <c r="B39" s="65" t="s">
        <v>48</v>
      </c>
      <c r="C39" s="65" t="s">
        <v>34</v>
      </c>
      <c r="D39" s="65" t="s">
        <v>27</v>
      </c>
      <c r="E39" s="66">
        <v>1410.06</v>
      </c>
      <c r="F39" s="65">
        <v>11</v>
      </c>
      <c r="G39" s="65">
        <v>0.05</v>
      </c>
      <c r="H39" s="67">
        <v>45434</v>
      </c>
      <c r="I39" s="68">
        <v>468.84</v>
      </c>
    </row>
    <row r="40" spans="1:9" ht="15" thickBot="1" x14ac:dyDescent="0.35">
      <c r="A40" s="64" t="s">
        <v>44</v>
      </c>
      <c r="B40" s="65" t="s">
        <v>59</v>
      </c>
      <c r="C40" s="65" t="s">
        <v>34</v>
      </c>
      <c r="D40" s="65" t="s">
        <v>27</v>
      </c>
      <c r="E40" s="66">
        <v>773.09</v>
      </c>
      <c r="F40" s="65">
        <v>13</v>
      </c>
      <c r="G40" s="65">
        <v>0.15</v>
      </c>
      <c r="H40" s="67">
        <v>45434</v>
      </c>
      <c r="I40" s="68">
        <v>229.99</v>
      </c>
    </row>
    <row r="41" spans="1:9" ht="15" thickBot="1" x14ac:dyDescent="0.35">
      <c r="A41" s="64" t="s">
        <v>60</v>
      </c>
      <c r="B41" s="65" t="s">
        <v>61</v>
      </c>
      <c r="C41" s="65" t="s">
        <v>18</v>
      </c>
      <c r="D41" s="65" t="s">
        <v>12</v>
      </c>
      <c r="E41" s="66">
        <v>580.42999999999995</v>
      </c>
      <c r="F41" s="65">
        <v>19</v>
      </c>
      <c r="G41" s="65">
        <v>0.15</v>
      </c>
      <c r="H41" s="67">
        <v>45435</v>
      </c>
      <c r="I41" s="68">
        <v>197.35</v>
      </c>
    </row>
    <row r="42" spans="1:9" ht="15" thickBot="1" x14ac:dyDescent="0.35">
      <c r="A42" s="64" t="s">
        <v>19</v>
      </c>
      <c r="B42" s="65" t="s">
        <v>42</v>
      </c>
      <c r="C42" s="65" t="s">
        <v>20</v>
      </c>
      <c r="D42" s="65" t="s">
        <v>12</v>
      </c>
      <c r="E42" s="66">
        <v>1151.21</v>
      </c>
      <c r="F42" s="65">
        <v>15</v>
      </c>
      <c r="G42" s="65">
        <v>0.1</v>
      </c>
      <c r="H42" s="67">
        <v>45445</v>
      </c>
      <c r="I42" s="68">
        <v>414.44</v>
      </c>
    </row>
    <row r="43" spans="1:9" ht="15" thickBot="1" x14ac:dyDescent="0.35">
      <c r="A43" s="64" t="s">
        <v>52</v>
      </c>
      <c r="B43" s="65" t="s">
        <v>23</v>
      </c>
      <c r="C43" s="65" t="s">
        <v>34</v>
      </c>
      <c r="D43" s="65" t="s">
        <v>39</v>
      </c>
      <c r="E43" s="66">
        <v>1025.98</v>
      </c>
      <c r="F43" s="65">
        <v>5</v>
      </c>
      <c r="G43" s="65">
        <v>0.2</v>
      </c>
      <c r="H43" s="67">
        <v>45447</v>
      </c>
      <c r="I43" s="68">
        <v>369.35</v>
      </c>
    </row>
    <row r="44" spans="1:9" ht="15" thickBot="1" x14ac:dyDescent="0.35">
      <c r="A44" s="64" t="s">
        <v>40</v>
      </c>
      <c r="B44" s="65" t="s">
        <v>56</v>
      </c>
      <c r="C44" s="65" t="s">
        <v>18</v>
      </c>
      <c r="D44" s="65" t="s">
        <v>39</v>
      </c>
      <c r="E44" s="66">
        <v>556.41999999999996</v>
      </c>
      <c r="F44" s="65">
        <v>11</v>
      </c>
      <c r="G44" s="65">
        <v>0.15</v>
      </c>
      <c r="H44" s="67">
        <v>45447</v>
      </c>
      <c r="I44" s="68">
        <v>212.83</v>
      </c>
    </row>
    <row r="45" spans="1:9" ht="15" thickBot="1" x14ac:dyDescent="0.35">
      <c r="A45" s="64" t="s">
        <v>57</v>
      </c>
      <c r="B45" s="65" t="s">
        <v>23</v>
      </c>
      <c r="C45" s="65" t="s">
        <v>34</v>
      </c>
      <c r="D45" s="65" t="s">
        <v>12</v>
      </c>
      <c r="E45" s="66">
        <v>840.85</v>
      </c>
      <c r="F45" s="65">
        <v>19</v>
      </c>
      <c r="G45" s="65">
        <v>0.1</v>
      </c>
      <c r="H45" s="67">
        <v>45448</v>
      </c>
      <c r="I45" s="68">
        <v>302.70999999999998</v>
      </c>
    </row>
    <row r="46" spans="1:9" ht="15" thickBot="1" x14ac:dyDescent="0.35">
      <c r="A46" s="64" t="s">
        <v>30</v>
      </c>
      <c r="B46" s="65" t="s">
        <v>61</v>
      </c>
      <c r="C46" s="65" t="s">
        <v>24</v>
      </c>
      <c r="D46" s="65" t="s">
        <v>27</v>
      </c>
      <c r="E46" s="66">
        <v>1227.25</v>
      </c>
      <c r="F46" s="65">
        <v>12</v>
      </c>
      <c r="G46" s="65">
        <v>0.15</v>
      </c>
      <c r="H46" s="67">
        <v>45448</v>
      </c>
      <c r="I46" s="68">
        <v>365.11</v>
      </c>
    </row>
    <row r="47" spans="1:9" ht="15" thickBot="1" x14ac:dyDescent="0.35">
      <c r="A47" s="64" t="s">
        <v>16</v>
      </c>
      <c r="B47" s="65" t="s">
        <v>62</v>
      </c>
      <c r="C47" s="65" t="s">
        <v>34</v>
      </c>
      <c r="D47" s="65" t="s">
        <v>21</v>
      </c>
      <c r="E47" s="66">
        <v>856.7</v>
      </c>
      <c r="F47" s="65">
        <v>2</v>
      </c>
      <c r="G47" s="65">
        <v>0</v>
      </c>
      <c r="H47" s="67">
        <v>45449</v>
      </c>
      <c r="I47" s="68">
        <v>214.18</v>
      </c>
    </row>
    <row r="48" spans="1:9" ht="15" thickBot="1" x14ac:dyDescent="0.35">
      <c r="A48" s="64" t="s">
        <v>54</v>
      </c>
      <c r="B48" s="65" t="s">
        <v>56</v>
      </c>
      <c r="C48" s="65" t="s">
        <v>34</v>
      </c>
      <c r="D48" s="65" t="s">
        <v>39</v>
      </c>
      <c r="E48" s="66">
        <v>1225.42</v>
      </c>
      <c r="F48" s="65">
        <v>8</v>
      </c>
      <c r="G48" s="65">
        <v>0.15</v>
      </c>
      <c r="H48" s="67">
        <v>45449</v>
      </c>
      <c r="I48" s="68">
        <v>468.72</v>
      </c>
    </row>
    <row r="49" spans="1:9" ht="15" thickBot="1" x14ac:dyDescent="0.35">
      <c r="A49" s="64" t="s">
        <v>63</v>
      </c>
      <c r="B49" s="65" t="s">
        <v>31</v>
      </c>
      <c r="C49" s="65" t="s">
        <v>24</v>
      </c>
      <c r="D49" s="65" t="s">
        <v>39</v>
      </c>
      <c r="E49" s="66">
        <v>1001.57</v>
      </c>
      <c r="F49" s="65">
        <v>12</v>
      </c>
      <c r="G49" s="65">
        <v>0</v>
      </c>
      <c r="H49" s="67">
        <v>45450</v>
      </c>
      <c r="I49" s="68">
        <v>450.71</v>
      </c>
    </row>
    <row r="50" spans="1:9" ht="15" thickBot="1" x14ac:dyDescent="0.35">
      <c r="A50" s="64" t="s">
        <v>57</v>
      </c>
      <c r="B50" s="65" t="s">
        <v>26</v>
      </c>
      <c r="C50" s="65" t="s">
        <v>18</v>
      </c>
      <c r="D50" s="65" t="s">
        <v>27</v>
      </c>
      <c r="E50" s="66">
        <v>1186.8499999999999</v>
      </c>
      <c r="F50" s="65">
        <v>19</v>
      </c>
      <c r="G50" s="65">
        <v>0.2</v>
      </c>
      <c r="H50" s="67">
        <v>45451</v>
      </c>
      <c r="I50" s="68">
        <v>332.32</v>
      </c>
    </row>
    <row r="51" spans="1:9" ht="15" thickBot="1" x14ac:dyDescent="0.35">
      <c r="A51" s="64" t="s">
        <v>44</v>
      </c>
      <c r="B51" s="65" t="s">
        <v>51</v>
      </c>
      <c r="C51" s="65" t="s">
        <v>20</v>
      </c>
      <c r="D51" s="65" t="s">
        <v>21</v>
      </c>
      <c r="E51" s="66">
        <v>775.45</v>
      </c>
      <c r="F51" s="65">
        <v>6</v>
      </c>
      <c r="G51" s="65">
        <v>0.1</v>
      </c>
      <c r="H51" s="67">
        <v>45457</v>
      </c>
      <c r="I51" s="68">
        <v>174.48</v>
      </c>
    </row>
    <row r="52" spans="1:9" ht="15" thickBot="1" x14ac:dyDescent="0.35">
      <c r="A52" s="64" t="s">
        <v>25</v>
      </c>
      <c r="B52" s="65" t="s">
        <v>33</v>
      </c>
      <c r="C52" s="65" t="s">
        <v>20</v>
      </c>
      <c r="D52" s="65" t="s">
        <v>21</v>
      </c>
      <c r="E52" s="66">
        <v>1021.47</v>
      </c>
      <c r="F52" s="65">
        <v>6</v>
      </c>
      <c r="G52" s="65">
        <v>0.05</v>
      </c>
      <c r="H52" s="67">
        <v>45461</v>
      </c>
      <c r="I52" s="68">
        <v>242.6</v>
      </c>
    </row>
    <row r="53" spans="1:9" ht="15" thickBot="1" x14ac:dyDescent="0.35">
      <c r="A53" s="64" t="s">
        <v>58</v>
      </c>
      <c r="B53" s="65" t="s">
        <v>23</v>
      </c>
      <c r="C53" s="65" t="s">
        <v>20</v>
      </c>
      <c r="D53" s="65" t="s">
        <v>15</v>
      </c>
      <c r="E53" s="66">
        <v>1226.6199999999999</v>
      </c>
      <c r="F53" s="65">
        <v>7</v>
      </c>
      <c r="G53" s="65">
        <v>0.1</v>
      </c>
      <c r="H53" s="67">
        <v>45463</v>
      </c>
      <c r="I53" s="68">
        <v>551.98</v>
      </c>
    </row>
    <row r="54" spans="1:9" ht="15" thickBot="1" x14ac:dyDescent="0.35">
      <c r="A54" s="64" t="s">
        <v>22</v>
      </c>
      <c r="B54" s="65" t="s">
        <v>64</v>
      </c>
      <c r="C54" s="65" t="s">
        <v>20</v>
      </c>
      <c r="D54" s="65" t="s">
        <v>27</v>
      </c>
      <c r="E54" s="66">
        <v>1086.93</v>
      </c>
      <c r="F54" s="65">
        <v>2</v>
      </c>
      <c r="G54" s="65">
        <v>0</v>
      </c>
      <c r="H54" s="67">
        <v>45464</v>
      </c>
      <c r="I54" s="68">
        <v>380.43</v>
      </c>
    </row>
    <row r="55" spans="1:9" ht="15" thickBot="1" x14ac:dyDescent="0.35">
      <c r="A55" s="64" t="s">
        <v>65</v>
      </c>
      <c r="B55" s="65" t="s">
        <v>48</v>
      </c>
      <c r="C55" s="65" t="s">
        <v>11</v>
      </c>
      <c r="D55" s="65" t="s">
        <v>12</v>
      </c>
      <c r="E55" s="66">
        <v>942.9</v>
      </c>
      <c r="F55" s="65">
        <v>18</v>
      </c>
      <c r="G55" s="65">
        <v>0.1</v>
      </c>
      <c r="H55" s="67">
        <v>45466</v>
      </c>
      <c r="I55" s="68">
        <v>339.44</v>
      </c>
    </row>
    <row r="56" spans="1:9" ht="15" thickBot="1" x14ac:dyDescent="0.35">
      <c r="A56" s="64" t="s">
        <v>32</v>
      </c>
      <c r="B56" s="65" t="s">
        <v>38</v>
      </c>
      <c r="C56" s="65" t="s">
        <v>24</v>
      </c>
      <c r="D56" s="65" t="s">
        <v>21</v>
      </c>
      <c r="E56" s="66">
        <v>818.8</v>
      </c>
      <c r="F56" s="65">
        <v>15</v>
      </c>
      <c r="G56" s="65">
        <v>0.15</v>
      </c>
      <c r="H56" s="67">
        <v>45468</v>
      </c>
      <c r="I56" s="68">
        <v>173.99</v>
      </c>
    </row>
    <row r="57" spans="1:9" ht="15" thickBot="1" x14ac:dyDescent="0.35">
      <c r="A57" s="64" t="s">
        <v>19</v>
      </c>
      <c r="B57" s="65" t="s">
        <v>14</v>
      </c>
      <c r="C57" s="65" t="s">
        <v>20</v>
      </c>
      <c r="D57" s="65" t="s">
        <v>27</v>
      </c>
      <c r="E57" s="66">
        <v>919.04</v>
      </c>
      <c r="F57" s="65">
        <v>10</v>
      </c>
      <c r="G57" s="65">
        <v>0.2</v>
      </c>
      <c r="H57" s="67">
        <v>45468</v>
      </c>
      <c r="I57" s="68">
        <v>257.33</v>
      </c>
    </row>
    <row r="58" spans="1:9" ht="15" thickBot="1" x14ac:dyDescent="0.35">
      <c r="A58" s="64" t="s">
        <v>22</v>
      </c>
      <c r="B58" s="65" t="s">
        <v>66</v>
      </c>
      <c r="C58" s="65" t="s">
        <v>34</v>
      </c>
      <c r="D58" s="65" t="s">
        <v>12</v>
      </c>
      <c r="E58" s="66">
        <v>973.26</v>
      </c>
      <c r="F58" s="65">
        <v>11</v>
      </c>
      <c r="G58" s="65">
        <v>0</v>
      </c>
      <c r="H58" s="67">
        <v>45470</v>
      </c>
      <c r="I58" s="68">
        <v>389.3</v>
      </c>
    </row>
    <row r="59" spans="1:9" ht="15" thickBot="1" x14ac:dyDescent="0.35">
      <c r="A59" s="64" t="s">
        <v>41</v>
      </c>
      <c r="B59" s="65" t="s">
        <v>64</v>
      </c>
      <c r="C59" s="65" t="s">
        <v>24</v>
      </c>
      <c r="D59" s="65" t="s">
        <v>21</v>
      </c>
      <c r="E59" s="66">
        <v>741.61</v>
      </c>
      <c r="F59" s="65">
        <v>1</v>
      </c>
      <c r="G59" s="65">
        <v>0.2</v>
      </c>
      <c r="H59" s="67">
        <v>45471</v>
      </c>
      <c r="I59" s="68">
        <v>148.32</v>
      </c>
    </row>
    <row r="60" spans="1:9" ht="15" thickBot="1" x14ac:dyDescent="0.35">
      <c r="A60" s="64" t="s">
        <v>67</v>
      </c>
      <c r="B60" s="65" t="s">
        <v>38</v>
      </c>
      <c r="C60" s="65" t="s">
        <v>24</v>
      </c>
      <c r="D60" s="65" t="s">
        <v>12</v>
      </c>
      <c r="E60" s="66">
        <v>1248.82</v>
      </c>
      <c r="F60" s="65">
        <v>2</v>
      </c>
      <c r="G60" s="65">
        <v>0.1</v>
      </c>
      <c r="H60" s="67">
        <v>45473</v>
      </c>
      <c r="I60" s="68">
        <v>449.58</v>
      </c>
    </row>
    <row r="61" spans="1:9" ht="15" thickBot="1" x14ac:dyDescent="0.35">
      <c r="A61" s="64" t="s">
        <v>13</v>
      </c>
      <c r="B61" s="65" t="s">
        <v>59</v>
      </c>
      <c r="C61" s="65" t="s">
        <v>11</v>
      </c>
      <c r="D61" s="65" t="s">
        <v>15</v>
      </c>
      <c r="E61" s="66">
        <v>1360.36</v>
      </c>
      <c r="F61" s="65">
        <v>17</v>
      </c>
      <c r="G61" s="65">
        <v>0</v>
      </c>
      <c r="H61" s="67">
        <v>45473</v>
      </c>
      <c r="I61" s="68">
        <v>680.18</v>
      </c>
    </row>
    <row r="62" spans="1:9" ht="15" thickBot="1" x14ac:dyDescent="0.35">
      <c r="A62" s="64" t="s">
        <v>57</v>
      </c>
      <c r="B62" s="65" t="s">
        <v>31</v>
      </c>
      <c r="C62" s="65" t="s">
        <v>18</v>
      </c>
      <c r="D62" s="65" t="s">
        <v>12</v>
      </c>
      <c r="E62" s="66">
        <v>1383.3</v>
      </c>
      <c r="F62" s="65">
        <v>8</v>
      </c>
      <c r="G62" s="65">
        <v>0.1</v>
      </c>
      <c r="H62" s="67">
        <v>45478</v>
      </c>
      <c r="I62" s="68">
        <v>497.99</v>
      </c>
    </row>
    <row r="63" spans="1:9" ht="15" thickBot="1" x14ac:dyDescent="0.35">
      <c r="A63" s="64" t="s">
        <v>35</v>
      </c>
      <c r="B63" s="65" t="s">
        <v>55</v>
      </c>
      <c r="C63" s="65" t="s">
        <v>34</v>
      </c>
      <c r="D63" s="65" t="s">
        <v>39</v>
      </c>
      <c r="E63" s="66">
        <v>488.99</v>
      </c>
      <c r="F63" s="65">
        <v>9</v>
      </c>
      <c r="G63" s="65">
        <v>0</v>
      </c>
      <c r="H63" s="67">
        <v>45479</v>
      </c>
      <c r="I63" s="68">
        <v>220.05</v>
      </c>
    </row>
    <row r="64" spans="1:9" ht="15" thickBot="1" x14ac:dyDescent="0.35">
      <c r="A64" s="64" t="s">
        <v>30</v>
      </c>
      <c r="B64" s="65" t="s">
        <v>31</v>
      </c>
      <c r="C64" s="65" t="s">
        <v>18</v>
      </c>
      <c r="D64" s="65" t="s">
        <v>27</v>
      </c>
      <c r="E64" s="66">
        <v>933.71</v>
      </c>
      <c r="F64" s="65">
        <v>17</v>
      </c>
      <c r="G64" s="65">
        <v>0.1</v>
      </c>
      <c r="H64" s="67">
        <v>45481</v>
      </c>
      <c r="I64" s="68">
        <v>294.12</v>
      </c>
    </row>
    <row r="65" spans="1:9" ht="15" thickBot="1" x14ac:dyDescent="0.35">
      <c r="A65" s="64" t="s">
        <v>67</v>
      </c>
      <c r="B65" s="65" t="s">
        <v>10</v>
      </c>
      <c r="C65" s="65" t="s">
        <v>11</v>
      </c>
      <c r="D65" s="65" t="s">
        <v>21</v>
      </c>
      <c r="E65" s="66">
        <v>1005.53</v>
      </c>
      <c r="F65" s="65">
        <v>17</v>
      </c>
      <c r="G65" s="65">
        <v>0.2</v>
      </c>
      <c r="H65" s="67">
        <v>45481</v>
      </c>
      <c r="I65" s="68">
        <v>201.11</v>
      </c>
    </row>
    <row r="66" spans="1:9" ht="15" thickBot="1" x14ac:dyDescent="0.35">
      <c r="A66" s="64" t="s">
        <v>41</v>
      </c>
      <c r="B66" s="65" t="s">
        <v>61</v>
      </c>
      <c r="C66" s="65" t="s">
        <v>20</v>
      </c>
      <c r="D66" s="65" t="s">
        <v>21</v>
      </c>
      <c r="E66" s="66">
        <v>1100.0999999999999</v>
      </c>
      <c r="F66" s="65">
        <v>5</v>
      </c>
      <c r="G66" s="65">
        <v>0.05</v>
      </c>
      <c r="H66" s="67">
        <v>45482</v>
      </c>
      <c r="I66" s="68">
        <v>261.27</v>
      </c>
    </row>
    <row r="67" spans="1:9" ht="15" thickBot="1" x14ac:dyDescent="0.35">
      <c r="A67" s="64" t="s">
        <v>67</v>
      </c>
      <c r="B67" s="65" t="s">
        <v>23</v>
      </c>
      <c r="C67" s="65" t="s">
        <v>24</v>
      </c>
      <c r="D67" s="65" t="s">
        <v>27</v>
      </c>
      <c r="E67" s="66">
        <v>1034.7</v>
      </c>
      <c r="F67" s="65">
        <v>15</v>
      </c>
      <c r="G67" s="65">
        <v>0.15</v>
      </c>
      <c r="H67" s="67">
        <v>45487</v>
      </c>
      <c r="I67" s="68">
        <v>307.82</v>
      </c>
    </row>
    <row r="68" spans="1:9" ht="15" thickBot="1" x14ac:dyDescent="0.35">
      <c r="A68" s="64" t="s">
        <v>65</v>
      </c>
      <c r="B68" s="65" t="s">
        <v>31</v>
      </c>
      <c r="C68" s="65" t="s">
        <v>20</v>
      </c>
      <c r="D68" s="65" t="s">
        <v>12</v>
      </c>
      <c r="E68" s="66">
        <v>876.44</v>
      </c>
      <c r="F68" s="65">
        <v>12</v>
      </c>
      <c r="G68" s="65">
        <v>0.05</v>
      </c>
      <c r="H68" s="67">
        <v>45488</v>
      </c>
      <c r="I68" s="68">
        <v>333.05</v>
      </c>
    </row>
    <row r="69" spans="1:9" ht="15" thickBot="1" x14ac:dyDescent="0.35">
      <c r="A69" s="64" t="s">
        <v>68</v>
      </c>
      <c r="B69" s="65" t="s">
        <v>55</v>
      </c>
      <c r="C69" s="65" t="s">
        <v>11</v>
      </c>
      <c r="D69" s="65" t="s">
        <v>27</v>
      </c>
      <c r="E69" s="66">
        <v>1371.34</v>
      </c>
      <c r="F69" s="65">
        <v>5</v>
      </c>
      <c r="G69" s="65">
        <v>0.05</v>
      </c>
      <c r="H69" s="67">
        <v>45488</v>
      </c>
      <c r="I69" s="68">
        <v>455.97</v>
      </c>
    </row>
    <row r="70" spans="1:9" ht="15" thickBot="1" x14ac:dyDescent="0.35">
      <c r="A70" s="64" t="s">
        <v>57</v>
      </c>
      <c r="B70" s="65" t="s">
        <v>47</v>
      </c>
      <c r="C70" s="65" t="s">
        <v>24</v>
      </c>
      <c r="D70" s="65" t="s">
        <v>21</v>
      </c>
      <c r="E70" s="66">
        <v>1020.26</v>
      </c>
      <c r="F70" s="65">
        <v>11</v>
      </c>
      <c r="G70" s="65">
        <v>0.05</v>
      </c>
      <c r="H70" s="67">
        <v>45494</v>
      </c>
      <c r="I70" s="68">
        <v>242.31</v>
      </c>
    </row>
    <row r="71" spans="1:9" ht="15" thickBot="1" x14ac:dyDescent="0.35">
      <c r="A71" s="64" t="s">
        <v>44</v>
      </c>
      <c r="B71" s="65" t="s">
        <v>10</v>
      </c>
      <c r="C71" s="65" t="s">
        <v>34</v>
      </c>
      <c r="D71" s="65" t="s">
        <v>39</v>
      </c>
      <c r="E71" s="66">
        <v>804.81</v>
      </c>
      <c r="F71" s="65">
        <v>1</v>
      </c>
      <c r="G71" s="65">
        <v>0.05</v>
      </c>
      <c r="H71" s="67">
        <v>45502</v>
      </c>
      <c r="I71" s="68">
        <v>344.06</v>
      </c>
    </row>
    <row r="72" spans="1:9" ht="15" thickBot="1" x14ac:dyDescent="0.35">
      <c r="A72" s="64" t="s">
        <v>22</v>
      </c>
      <c r="B72" s="65" t="s">
        <v>55</v>
      </c>
      <c r="C72" s="65" t="s">
        <v>34</v>
      </c>
      <c r="D72" s="65" t="s">
        <v>21</v>
      </c>
      <c r="E72" s="66">
        <v>608.66</v>
      </c>
      <c r="F72" s="65">
        <v>1</v>
      </c>
      <c r="G72" s="65">
        <v>0.05</v>
      </c>
      <c r="H72" s="67">
        <v>45503</v>
      </c>
      <c r="I72" s="68">
        <v>144.56</v>
      </c>
    </row>
    <row r="73" spans="1:9" ht="15" thickBot="1" x14ac:dyDescent="0.35">
      <c r="A73" s="64" t="s">
        <v>68</v>
      </c>
      <c r="B73" s="65" t="s">
        <v>69</v>
      </c>
      <c r="C73" s="65" t="s">
        <v>20</v>
      </c>
      <c r="D73" s="65" t="s">
        <v>39</v>
      </c>
      <c r="E73" s="66">
        <v>981.2</v>
      </c>
      <c r="F73" s="65">
        <v>19</v>
      </c>
      <c r="G73" s="65">
        <v>0</v>
      </c>
      <c r="H73" s="67">
        <v>45504</v>
      </c>
      <c r="I73" s="68">
        <v>441.54</v>
      </c>
    </row>
    <row r="74" spans="1:9" ht="15" thickBot="1" x14ac:dyDescent="0.35">
      <c r="A74" s="64" t="s">
        <v>70</v>
      </c>
      <c r="B74" s="65" t="s">
        <v>55</v>
      </c>
      <c r="C74" s="65" t="s">
        <v>18</v>
      </c>
      <c r="D74" s="65" t="s">
        <v>21</v>
      </c>
      <c r="E74" s="66">
        <v>539.77</v>
      </c>
      <c r="F74" s="65">
        <v>10</v>
      </c>
      <c r="G74" s="65">
        <v>0.15</v>
      </c>
      <c r="H74" s="67">
        <v>45509</v>
      </c>
      <c r="I74" s="68">
        <v>114.7</v>
      </c>
    </row>
    <row r="75" spans="1:9" ht="15" thickBot="1" x14ac:dyDescent="0.35">
      <c r="A75" s="64" t="s">
        <v>13</v>
      </c>
      <c r="B75" s="65" t="s">
        <v>71</v>
      </c>
      <c r="C75" s="65" t="s">
        <v>20</v>
      </c>
      <c r="D75" s="65" t="s">
        <v>12</v>
      </c>
      <c r="E75" s="66">
        <v>804.45</v>
      </c>
      <c r="F75" s="65">
        <v>5</v>
      </c>
      <c r="G75" s="65">
        <v>0.2</v>
      </c>
      <c r="H75" s="67">
        <v>45509</v>
      </c>
      <c r="I75" s="68">
        <v>257.42</v>
      </c>
    </row>
    <row r="76" spans="1:9" ht="15" thickBot="1" x14ac:dyDescent="0.35">
      <c r="A76" s="64" t="s">
        <v>70</v>
      </c>
      <c r="B76" s="65" t="s">
        <v>38</v>
      </c>
      <c r="C76" s="65" t="s">
        <v>11</v>
      </c>
      <c r="D76" s="65" t="s">
        <v>21</v>
      </c>
      <c r="E76" s="66">
        <v>1526.6</v>
      </c>
      <c r="F76" s="65">
        <v>13</v>
      </c>
      <c r="G76" s="65">
        <v>0.2</v>
      </c>
      <c r="H76" s="67">
        <v>45512</v>
      </c>
      <c r="I76" s="68">
        <v>305.32</v>
      </c>
    </row>
    <row r="77" spans="1:9" ht="15" thickBot="1" x14ac:dyDescent="0.35">
      <c r="A77" s="64" t="s">
        <v>13</v>
      </c>
      <c r="B77" s="65" t="s">
        <v>29</v>
      </c>
      <c r="C77" s="65" t="s">
        <v>11</v>
      </c>
      <c r="D77" s="65" t="s">
        <v>21</v>
      </c>
      <c r="E77" s="66">
        <v>1215.26</v>
      </c>
      <c r="F77" s="65">
        <v>5</v>
      </c>
      <c r="G77" s="65">
        <v>0.15</v>
      </c>
      <c r="H77" s="67">
        <v>45513</v>
      </c>
      <c r="I77" s="68">
        <v>258.24</v>
      </c>
    </row>
    <row r="78" spans="1:9" ht="15" thickBot="1" x14ac:dyDescent="0.35">
      <c r="A78" s="64" t="s">
        <v>19</v>
      </c>
      <c r="B78" s="65" t="s">
        <v>53</v>
      </c>
      <c r="C78" s="65" t="s">
        <v>34</v>
      </c>
      <c r="D78" s="65" t="s">
        <v>27</v>
      </c>
      <c r="E78" s="66">
        <v>1261.3399999999999</v>
      </c>
      <c r="F78" s="65">
        <v>3</v>
      </c>
      <c r="G78" s="65">
        <v>0</v>
      </c>
      <c r="H78" s="67">
        <v>45519</v>
      </c>
      <c r="I78" s="68">
        <v>441.47</v>
      </c>
    </row>
    <row r="79" spans="1:9" ht="15" thickBot="1" x14ac:dyDescent="0.35">
      <c r="A79" s="64" t="s">
        <v>72</v>
      </c>
      <c r="B79" s="65" t="s">
        <v>45</v>
      </c>
      <c r="C79" s="65" t="s">
        <v>24</v>
      </c>
      <c r="D79" s="65" t="s">
        <v>27</v>
      </c>
      <c r="E79" s="66">
        <v>518.07000000000005</v>
      </c>
      <c r="F79" s="65">
        <v>7</v>
      </c>
      <c r="G79" s="65">
        <v>0.05</v>
      </c>
      <c r="H79" s="67">
        <v>45522</v>
      </c>
      <c r="I79" s="68">
        <v>172.26</v>
      </c>
    </row>
    <row r="80" spans="1:9" ht="15" thickBot="1" x14ac:dyDescent="0.35">
      <c r="A80" s="64" t="s">
        <v>30</v>
      </c>
      <c r="B80" s="65" t="s">
        <v>29</v>
      </c>
      <c r="C80" s="65" t="s">
        <v>11</v>
      </c>
      <c r="D80" s="65" t="s">
        <v>39</v>
      </c>
      <c r="E80" s="66">
        <v>1111.3399999999999</v>
      </c>
      <c r="F80" s="65">
        <v>1</v>
      </c>
      <c r="G80" s="65">
        <v>0</v>
      </c>
      <c r="H80" s="67">
        <v>45523</v>
      </c>
      <c r="I80" s="68">
        <v>500.1</v>
      </c>
    </row>
    <row r="81" spans="1:9" ht="15" thickBot="1" x14ac:dyDescent="0.35">
      <c r="A81" s="64" t="s">
        <v>22</v>
      </c>
      <c r="B81" s="65" t="s">
        <v>31</v>
      </c>
      <c r="C81" s="65" t="s">
        <v>18</v>
      </c>
      <c r="D81" s="65" t="s">
        <v>15</v>
      </c>
      <c r="E81" s="66">
        <v>1291.47</v>
      </c>
      <c r="F81" s="65">
        <v>18</v>
      </c>
      <c r="G81" s="65">
        <v>0.1</v>
      </c>
      <c r="H81" s="67">
        <v>45526</v>
      </c>
      <c r="I81" s="68">
        <v>581.16</v>
      </c>
    </row>
    <row r="82" spans="1:9" ht="15" thickBot="1" x14ac:dyDescent="0.35">
      <c r="A82" s="64" t="s">
        <v>25</v>
      </c>
      <c r="B82" s="65" t="s">
        <v>55</v>
      </c>
      <c r="C82" s="65" t="s">
        <v>24</v>
      </c>
      <c r="D82" s="65" t="s">
        <v>12</v>
      </c>
      <c r="E82" s="66">
        <v>679.71</v>
      </c>
      <c r="F82" s="65">
        <v>19</v>
      </c>
      <c r="G82" s="65">
        <v>0</v>
      </c>
      <c r="H82" s="67">
        <v>45534</v>
      </c>
      <c r="I82" s="68">
        <v>271.88</v>
      </c>
    </row>
    <row r="83" spans="1:9" ht="15" thickBot="1" x14ac:dyDescent="0.35">
      <c r="A83" s="64" t="s">
        <v>68</v>
      </c>
      <c r="B83" s="65" t="s">
        <v>33</v>
      </c>
      <c r="C83" s="65" t="s">
        <v>18</v>
      </c>
      <c r="D83" s="65" t="s">
        <v>27</v>
      </c>
      <c r="E83" s="66">
        <v>1143.69</v>
      </c>
      <c r="F83" s="65">
        <v>17</v>
      </c>
      <c r="G83" s="65">
        <v>0</v>
      </c>
      <c r="H83" s="67">
        <v>45534</v>
      </c>
      <c r="I83" s="68">
        <v>400.29</v>
      </c>
    </row>
    <row r="84" spans="1:9" ht="15" thickBot="1" x14ac:dyDescent="0.35">
      <c r="A84" s="64" t="s">
        <v>52</v>
      </c>
      <c r="B84" s="65" t="s">
        <v>50</v>
      </c>
      <c r="C84" s="65" t="s">
        <v>34</v>
      </c>
      <c r="D84" s="65" t="s">
        <v>21</v>
      </c>
      <c r="E84" s="66">
        <v>790.08</v>
      </c>
      <c r="F84" s="65">
        <v>7</v>
      </c>
      <c r="G84" s="65">
        <v>0.1</v>
      </c>
      <c r="H84" s="67">
        <v>45536</v>
      </c>
      <c r="I84" s="68">
        <v>177.77</v>
      </c>
    </row>
    <row r="85" spans="1:9" ht="15" thickBot="1" x14ac:dyDescent="0.35">
      <c r="A85" s="64" t="s">
        <v>19</v>
      </c>
      <c r="B85" s="65" t="s">
        <v>48</v>
      </c>
      <c r="C85" s="65" t="s">
        <v>34</v>
      </c>
      <c r="D85" s="65" t="s">
        <v>12</v>
      </c>
      <c r="E85" s="66">
        <v>1070.68</v>
      </c>
      <c r="F85" s="65">
        <v>7</v>
      </c>
      <c r="G85" s="65">
        <v>0.05</v>
      </c>
      <c r="H85" s="67">
        <v>45536</v>
      </c>
      <c r="I85" s="68">
        <v>406.86</v>
      </c>
    </row>
    <row r="86" spans="1:9" ht="15" thickBot="1" x14ac:dyDescent="0.35">
      <c r="A86" s="64" t="s">
        <v>58</v>
      </c>
      <c r="B86" s="65" t="s">
        <v>36</v>
      </c>
      <c r="C86" s="65" t="s">
        <v>11</v>
      </c>
      <c r="D86" s="65" t="s">
        <v>15</v>
      </c>
      <c r="E86" s="66">
        <v>1168.8900000000001</v>
      </c>
      <c r="F86" s="65">
        <v>4</v>
      </c>
      <c r="G86" s="65">
        <v>0.1</v>
      </c>
      <c r="H86" s="67">
        <v>45544</v>
      </c>
      <c r="I86" s="68">
        <v>526</v>
      </c>
    </row>
    <row r="87" spans="1:9" ht="15" thickBot="1" x14ac:dyDescent="0.35">
      <c r="A87" s="64" t="s">
        <v>67</v>
      </c>
      <c r="B87" s="65" t="s">
        <v>10</v>
      </c>
      <c r="C87" s="65" t="s">
        <v>20</v>
      </c>
      <c r="D87" s="65" t="s">
        <v>21</v>
      </c>
      <c r="E87" s="66">
        <v>1335.87</v>
      </c>
      <c r="F87" s="65">
        <v>17</v>
      </c>
      <c r="G87" s="65">
        <v>0</v>
      </c>
      <c r="H87" s="67">
        <v>45544</v>
      </c>
      <c r="I87" s="68">
        <v>333.97</v>
      </c>
    </row>
    <row r="88" spans="1:9" ht="15" thickBot="1" x14ac:dyDescent="0.35">
      <c r="A88" s="64" t="s">
        <v>40</v>
      </c>
      <c r="B88" s="65" t="s">
        <v>55</v>
      </c>
      <c r="C88" s="65" t="s">
        <v>18</v>
      </c>
      <c r="D88" s="65" t="s">
        <v>27</v>
      </c>
      <c r="E88" s="66">
        <v>873.7</v>
      </c>
      <c r="F88" s="65">
        <v>9</v>
      </c>
      <c r="G88" s="65">
        <v>0</v>
      </c>
      <c r="H88" s="67">
        <v>45546</v>
      </c>
      <c r="I88" s="68">
        <v>305.8</v>
      </c>
    </row>
    <row r="89" spans="1:9" ht="15" thickBot="1" x14ac:dyDescent="0.35">
      <c r="A89" s="64" t="s">
        <v>72</v>
      </c>
      <c r="B89" s="65" t="s">
        <v>64</v>
      </c>
      <c r="C89" s="65" t="s">
        <v>11</v>
      </c>
      <c r="D89" s="65" t="s">
        <v>39</v>
      </c>
      <c r="E89" s="66">
        <v>1443.98</v>
      </c>
      <c r="F89" s="65">
        <v>19</v>
      </c>
      <c r="G89" s="65">
        <v>0</v>
      </c>
      <c r="H89" s="67">
        <v>45547</v>
      </c>
      <c r="I89" s="68">
        <v>649.79</v>
      </c>
    </row>
    <row r="90" spans="1:9" ht="15" thickBot="1" x14ac:dyDescent="0.35">
      <c r="A90" s="64" t="s">
        <v>40</v>
      </c>
      <c r="B90" s="65" t="s">
        <v>23</v>
      </c>
      <c r="C90" s="65" t="s">
        <v>18</v>
      </c>
      <c r="D90" s="65" t="s">
        <v>39</v>
      </c>
      <c r="E90" s="66">
        <v>1154.33</v>
      </c>
      <c r="F90" s="65">
        <v>11</v>
      </c>
      <c r="G90" s="65">
        <v>0.15</v>
      </c>
      <c r="H90" s="67">
        <v>45549</v>
      </c>
      <c r="I90" s="68">
        <v>441.53</v>
      </c>
    </row>
    <row r="91" spans="1:9" ht="15" thickBot="1" x14ac:dyDescent="0.35">
      <c r="A91" s="64" t="s">
        <v>49</v>
      </c>
      <c r="B91" s="65" t="s">
        <v>50</v>
      </c>
      <c r="C91" s="65" t="s">
        <v>20</v>
      </c>
      <c r="D91" s="65" t="s">
        <v>12</v>
      </c>
      <c r="E91" s="66">
        <v>1264.49</v>
      </c>
      <c r="F91" s="65">
        <v>16</v>
      </c>
      <c r="G91" s="65">
        <v>0.05</v>
      </c>
      <c r="H91" s="67">
        <v>45549</v>
      </c>
      <c r="I91" s="68">
        <v>480.51</v>
      </c>
    </row>
    <row r="92" spans="1:9" ht="15" thickBot="1" x14ac:dyDescent="0.35">
      <c r="A92" s="64" t="s">
        <v>25</v>
      </c>
      <c r="B92" s="65" t="s">
        <v>66</v>
      </c>
      <c r="C92" s="65" t="s">
        <v>11</v>
      </c>
      <c r="D92" s="65" t="s">
        <v>27</v>
      </c>
      <c r="E92" s="66">
        <v>1101.55</v>
      </c>
      <c r="F92" s="65">
        <v>4</v>
      </c>
      <c r="G92" s="65">
        <v>0.1</v>
      </c>
      <c r="H92" s="67">
        <v>45551</v>
      </c>
      <c r="I92" s="68">
        <v>346.99</v>
      </c>
    </row>
    <row r="93" spans="1:9" ht="15" thickBot="1" x14ac:dyDescent="0.35">
      <c r="A93" s="64" t="s">
        <v>73</v>
      </c>
      <c r="B93" s="65" t="s">
        <v>14</v>
      </c>
      <c r="C93" s="65" t="s">
        <v>20</v>
      </c>
      <c r="D93" s="65" t="s">
        <v>27</v>
      </c>
      <c r="E93" s="66">
        <v>727.73</v>
      </c>
      <c r="F93" s="65">
        <v>1</v>
      </c>
      <c r="G93" s="65">
        <v>0.1</v>
      </c>
      <c r="H93" s="67">
        <v>45552</v>
      </c>
      <c r="I93" s="68">
        <v>229.23</v>
      </c>
    </row>
    <row r="94" spans="1:9" ht="15" thickBot="1" x14ac:dyDescent="0.35">
      <c r="A94" s="64" t="s">
        <v>74</v>
      </c>
      <c r="B94" s="65" t="s">
        <v>38</v>
      </c>
      <c r="C94" s="65" t="s">
        <v>18</v>
      </c>
      <c r="D94" s="65" t="s">
        <v>39</v>
      </c>
      <c r="E94" s="66">
        <v>875.41</v>
      </c>
      <c r="F94" s="65">
        <v>13</v>
      </c>
      <c r="G94" s="65">
        <v>0.15</v>
      </c>
      <c r="H94" s="67">
        <v>45552</v>
      </c>
      <c r="I94" s="68">
        <v>334.84</v>
      </c>
    </row>
    <row r="95" spans="1:9" ht="15" thickBot="1" x14ac:dyDescent="0.35">
      <c r="A95" s="64" t="s">
        <v>67</v>
      </c>
      <c r="B95" s="65" t="s">
        <v>23</v>
      </c>
      <c r="C95" s="65" t="s">
        <v>11</v>
      </c>
      <c r="D95" s="65" t="s">
        <v>21</v>
      </c>
      <c r="E95" s="66">
        <v>1158.94</v>
      </c>
      <c r="F95" s="65">
        <v>19</v>
      </c>
      <c r="G95" s="65">
        <v>0.2</v>
      </c>
      <c r="H95" s="67">
        <v>45553</v>
      </c>
      <c r="I95" s="68">
        <v>231.79</v>
      </c>
    </row>
    <row r="96" spans="1:9" ht="15" thickBot="1" x14ac:dyDescent="0.35">
      <c r="A96" s="64" t="s">
        <v>75</v>
      </c>
      <c r="B96" s="65" t="s">
        <v>47</v>
      </c>
      <c r="C96" s="65" t="s">
        <v>20</v>
      </c>
      <c r="D96" s="65" t="s">
        <v>12</v>
      </c>
      <c r="E96" s="66">
        <v>966.3</v>
      </c>
      <c r="F96" s="65">
        <v>2</v>
      </c>
      <c r="G96" s="65">
        <v>0.15</v>
      </c>
      <c r="H96" s="67">
        <v>45557</v>
      </c>
      <c r="I96" s="68">
        <v>328.54</v>
      </c>
    </row>
    <row r="97" spans="1:9" ht="15" thickBot="1" x14ac:dyDescent="0.35">
      <c r="A97" s="64" t="s">
        <v>68</v>
      </c>
      <c r="B97" s="65" t="s">
        <v>17</v>
      </c>
      <c r="C97" s="65" t="s">
        <v>20</v>
      </c>
      <c r="D97" s="65" t="s">
        <v>12</v>
      </c>
      <c r="E97" s="66">
        <v>917.48</v>
      </c>
      <c r="F97" s="65">
        <v>6</v>
      </c>
      <c r="G97" s="65">
        <v>0</v>
      </c>
      <c r="H97" s="67">
        <v>45558</v>
      </c>
      <c r="I97" s="68">
        <v>366.99</v>
      </c>
    </row>
    <row r="98" spans="1:9" ht="15" thickBot="1" x14ac:dyDescent="0.35">
      <c r="A98" s="64" t="s">
        <v>41</v>
      </c>
      <c r="B98" s="65" t="s">
        <v>61</v>
      </c>
      <c r="C98" s="65" t="s">
        <v>11</v>
      </c>
      <c r="D98" s="65" t="s">
        <v>27</v>
      </c>
      <c r="E98" s="66">
        <v>1172.97</v>
      </c>
      <c r="F98" s="65">
        <v>7</v>
      </c>
      <c r="G98" s="65">
        <v>0.15</v>
      </c>
      <c r="H98" s="67">
        <v>45559</v>
      </c>
      <c r="I98" s="68">
        <v>348.96</v>
      </c>
    </row>
    <row r="99" spans="1:9" ht="15" thickBot="1" x14ac:dyDescent="0.35">
      <c r="A99" s="64" t="s">
        <v>57</v>
      </c>
      <c r="B99" s="65" t="s">
        <v>23</v>
      </c>
      <c r="C99" s="65" t="s">
        <v>24</v>
      </c>
      <c r="D99" s="65" t="s">
        <v>15</v>
      </c>
      <c r="E99" s="66">
        <v>1205.82</v>
      </c>
      <c r="F99" s="65">
        <v>11</v>
      </c>
      <c r="G99" s="65">
        <v>0.1</v>
      </c>
      <c r="H99" s="67">
        <v>45559</v>
      </c>
      <c r="I99" s="68">
        <v>542.62</v>
      </c>
    </row>
    <row r="100" spans="1:9" ht="15" thickBot="1" x14ac:dyDescent="0.35">
      <c r="A100" s="64" t="s">
        <v>16</v>
      </c>
      <c r="B100" s="65" t="s">
        <v>64</v>
      </c>
      <c r="C100" s="65" t="s">
        <v>11</v>
      </c>
      <c r="D100" s="65" t="s">
        <v>39</v>
      </c>
      <c r="E100" s="66">
        <v>826.93</v>
      </c>
      <c r="F100" s="65">
        <v>10</v>
      </c>
      <c r="G100" s="65">
        <v>0.2</v>
      </c>
      <c r="H100" s="67">
        <v>45564</v>
      </c>
      <c r="I100" s="68">
        <v>297.69</v>
      </c>
    </row>
    <row r="101" spans="1:9" ht="15" thickBot="1" x14ac:dyDescent="0.35">
      <c r="A101" s="64" t="s">
        <v>67</v>
      </c>
      <c r="B101" s="65" t="s">
        <v>23</v>
      </c>
      <c r="C101" s="65" t="s">
        <v>34</v>
      </c>
      <c r="D101" s="65" t="s">
        <v>15</v>
      </c>
      <c r="E101" s="66">
        <v>902.19</v>
      </c>
      <c r="F101" s="65">
        <v>12</v>
      </c>
      <c r="G101" s="65">
        <v>0</v>
      </c>
      <c r="H101" s="67">
        <v>45564</v>
      </c>
      <c r="I101" s="68">
        <v>451.1</v>
      </c>
    </row>
    <row r="102" spans="1:9" ht="15" thickBot="1" x14ac:dyDescent="0.35">
      <c r="A102" s="64" t="s">
        <v>74</v>
      </c>
      <c r="B102" s="65" t="s">
        <v>38</v>
      </c>
      <c r="C102" s="65" t="s">
        <v>24</v>
      </c>
      <c r="D102" s="65" t="s">
        <v>12</v>
      </c>
      <c r="E102" s="66">
        <v>585.97</v>
      </c>
      <c r="F102" s="65">
        <v>17</v>
      </c>
      <c r="G102" s="65">
        <v>0.1</v>
      </c>
      <c r="H102" s="67">
        <v>45565</v>
      </c>
      <c r="I102" s="68">
        <v>210.95</v>
      </c>
    </row>
    <row r="103" spans="1:9" ht="15" thickBot="1" x14ac:dyDescent="0.35">
      <c r="A103" s="64" t="s">
        <v>60</v>
      </c>
      <c r="B103" s="65" t="s">
        <v>26</v>
      </c>
      <c r="C103" s="65" t="s">
        <v>24</v>
      </c>
      <c r="D103" s="65" t="s">
        <v>15</v>
      </c>
      <c r="E103" s="66">
        <v>990.19</v>
      </c>
      <c r="F103" s="65">
        <v>8</v>
      </c>
      <c r="G103" s="65">
        <v>0.1</v>
      </c>
      <c r="H103" s="67">
        <v>45565</v>
      </c>
      <c r="I103" s="68">
        <v>445.59</v>
      </c>
    </row>
    <row r="104" spans="1:9" ht="15" thickBot="1" x14ac:dyDescent="0.35">
      <c r="A104" s="64" t="s">
        <v>44</v>
      </c>
      <c r="B104" s="65" t="s">
        <v>56</v>
      </c>
      <c r="C104" s="65" t="s">
        <v>34</v>
      </c>
      <c r="D104" s="65" t="s">
        <v>21</v>
      </c>
      <c r="E104" s="66">
        <v>1014.09</v>
      </c>
      <c r="F104" s="65">
        <v>13</v>
      </c>
      <c r="G104" s="65">
        <v>0.2</v>
      </c>
      <c r="H104" s="67">
        <v>45567</v>
      </c>
      <c r="I104" s="68">
        <v>202.82</v>
      </c>
    </row>
    <row r="105" spans="1:9" ht="15" thickBot="1" x14ac:dyDescent="0.35">
      <c r="A105" s="64" t="s">
        <v>13</v>
      </c>
      <c r="B105" s="65" t="s">
        <v>48</v>
      </c>
      <c r="C105" s="65" t="s">
        <v>24</v>
      </c>
      <c r="D105" s="65" t="s">
        <v>21</v>
      </c>
      <c r="E105" s="66">
        <v>925.29</v>
      </c>
      <c r="F105" s="65">
        <v>17</v>
      </c>
      <c r="G105" s="65">
        <v>0</v>
      </c>
      <c r="H105" s="67">
        <v>45570</v>
      </c>
      <c r="I105" s="68">
        <v>231.32</v>
      </c>
    </row>
    <row r="106" spans="1:9" ht="15" thickBot="1" x14ac:dyDescent="0.35">
      <c r="A106" s="64" t="s">
        <v>54</v>
      </c>
      <c r="B106" s="65" t="s">
        <v>47</v>
      </c>
      <c r="C106" s="65" t="s">
        <v>18</v>
      </c>
      <c r="D106" s="65" t="s">
        <v>27</v>
      </c>
      <c r="E106" s="66">
        <v>1286.54</v>
      </c>
      <c r="F106" s="65">
        <v>8</v>
      </c>
      <c r="G106" s="65">
        <v>0</v>
      </c>
      <c r="H106" s="67">
        <v>45575</v>
      </c>
      <c r="I106" s="68">
        <v>450.29</v>
      </c>
    </row>
    <row r="107" spans="1:9" ht="15" thickBot="1" x14ac:dyDescent="0.35">
      <c r="A107" s="64" t="s">
        <v>37</v>
      </c>
      <c r="B107" s="65" t="s">
        <v>64</v>
      </c>
      <c r="C107" s="65" t="s">
        <v>20</v>
      </c>
      <c r="D107" s="65" t="s">
        <v>12</v>
      </c>
      <c r="E107" s="66">
        <v>961.62</v>
      </c>
      <c r="F107" s="65">
        <v>8</v>
      </c>
      <c r="G107" s="65">
        <v>0.2</v>
      </c>
      <c r="H107" s="67">
        <v>45577</v>
      </c>
      <c r="I107" s="68">
        <v>307.72000000000003</v>
      </c>
    </row>
    <row r="108" spans="1:9" ht="15" thickBot="1" x14ac:dyDescent="0.35">
      <c r="A108" s="64" t="s">
        <v>44</v>
      </c>
      <c r="B108" s="65" t="s">
        <v>23</v>
      </c>
      <c r="C108" s="65" t="s">
        <v>18</v>
      </c>
      <c r="D108" s="65" t="s">
        <v>12</v>
      </c>
      <c r="E108" s="66">
        <v>1081.1400000000001</v>
      </c>
      <c r="F108" s="65">
        <v>19</v>
      </c>
      <c r="G108" s="65">
        <v>0.15</v>
      </c>
      <c r="H108" s="67">
        <v>45577</v>
      </c>
      <c r="I108" s="68">
        <v>367.59</v>
      </c>
    </row>
    <row r="109" spans="1:9" ht="15" thickBot="1" x14ac:dyDescent="0.35">
      <c r="A109" s="64" t="s">
        <v>58</v>
      </c>
      <c r="B109" s="65" t="s">
        <v>23</v>
      </c>
      <c r="C109" s="65" t="s">
        <v>11</v>
      </c>
      <c r="D109" s="65" t="s">
        <v>15</v>
      </c>
      <c r="E109" s="66">
        <v>1923.66</v>
      </c>
      <c r="F109" s="65">
        <v>9</v>
      </c>
      <c r="G109" s="65">
        <v>0.2</v>
      </c>
      <c r="H109" s="67">
        <v>45580</v>
      </c>
      <c r="I109" s="68">
        <v>769.46</v>
      </c>
    </row>
    <row r="110" spans="1:9" ht="15" thickBot="1" x14ac:dyDescent="0.35">
      <c r="A110" s="64" t="s">
        <v>54</v>
      </c>
      <c r="B110" s="65" t="s">
        <v>66</v>
      </c>
      <c r="C110" s="65" t="s">
        <v>34</v>
      </c>
      <c r="D110" s="65" t="s">
        <v>15</v>
      </c>
      <c r="E110" s="66">
        <v>728.71</v>
      </c>
      <c r="F110" s="65">
        <v>14</v>
      </c>
      <c r="G110" s="65">
        <v>0.1</v>
      </c>
      <c r="H110" s="67">
        <v>45581</v>
      </c>
      <c r="I110" s="68">
        <v>327.92</v>
      </c>
    </row>
    <row r="111" spans="1:9" ht="15" thickBot="1" x14ac:dyDescent="0.35">
      <c r="A111" s="64" t="s">
        <v>9</v>
      </c>
      <c r="B111" s="65" t="s">
        <v>33</v>
      </c>
      <c r="C111" s="65" t="s">
        <v>34</v>
      </c>
      <c r="D111" s="65" t="s">
        <v>15</v>
      </c>
      <c r="E111" s="66">
        <v>1301.8900000000001</v>
      </c>
      <c r="F111" s="65">
        <v>7</v>
      </c>
      <c r="G111" s="65">
        <v>0.15</v>
      </c>
      <c r="H111" s="67">
        <v>45581</v>
      </c>
      <c r="I111" s="68">
        <v>553.29999999999995</v>
      </c>
    </row>
    <row r="112" spans="1:9" ht="15" thickBot="1" x14ac:dyDescent="0.35">
      <c r="A112" s="64" t="s">
        <v>70</v>
      </c>
      <c r="B112" s="65" t="s">
        <v>66</v>
      </c>
      <c r="C112" s="65" t="s">
        <v>18</v>
      </c>
      <c r="D112" s="65" t="s">
        <v>12</v>
      </c>
      <c r="E112" s="66">
        <v>980.18</v>
      </c>
      <c r="F112" s="65">
        <v>16</v>
      </c>
      <c r="G112" s="65">
        <v>0.1</v>
      </c>
      <c r="H112" s="67">
        <v>45582</v>
      </c>
      <c r="I112" s="68">
        <v>352.86</v>
      </c>
    </row>
    <row r="113" spans="1:9" ht="15" thickBot="1" x14ac:dyDescent="0.35">
      <c r="A113" s="64" t="s">
        <v>74</v>
      </c>
      <c r="B113" s="65" t="s">
        <v>23</v>
      </c>
      <c r="C113" s="65" t="s">
        <v>11</v>
      </c>
      <c r="D113" s="65" t="s">
        <v>15</v>
      </c>
      <c r="E113" s="66">
        <v>697.57</v>
      </c>
      <c r="F113" s="65">
        <v>17</v>
      </c>
      <c r="G113" s="65">
        <v>0.1</v>
      </c>
      <c r="H113" s="67">
        <v>45584</v>
      </c>
      <c r="I113" s="68">
        <v>313.91000000000003</v>
      </c>
    </row>
    <row r="114" spans="1:9" ht="15" thickBot="1" x14ac:dyDescent="0.35">
      <c r="A114" s="64" t="s">
        <v>46</v>
      </c>
      <c r="B114" s="65" t="s">
        <v>71</v>
      </c>
      <c r="C114" s="65" t="s">
        <v>11</v>
      </c>
      <c r="D114" s="65" t="s">
        <v>27</v>
      </c>
      <c r="E114" s="66">
        <v>1193.6099999999999</v>
      </c>
      <c r="F114" s="65">
        <v>1</v>
      </c>
      <c r="G114" s="65">
        <v>0.15</v>
      </c>
      <c r="H114" s="67">
        <v>45584</v>
      </c>
      <c r="I114" s="68">
        <v>355.1</v>
      </c>
    </row>
    <row r="115" spans="1:9" ht="15" thickBot="1" x14ac:dyDescent="0.35">
      <c r="A115" s="64" t="s">
        <v>32</v>
      </c>
      <c r="B115" s="65" t="s">
        <v>38</v>
      </c>
      <c r="C115" s="65" t="s">
        <v>20</v>
      </c>
      <c r="D115" s="65" t="s">
        <v>21</v>
      </c>
      <c r="E115" s="66">
        <v>771.02</v>
      </c>
      <c r="F115" s="65">
        <v>1</v>
      </c>
      <c r="G115" s="65">
        <v>0</v>
      </c>
      <c r="H115" s="67">
        <v>45585</v>
      </c>
      <c r="I115" s="68">
        <v>192.76</v>
      </c>
    </row>
    <row r="116" spans="1:9" ht="15" thickBot="1" x14ac:dyDescent="0.35">
      <c r="A116" s="64" t="s">
        <v>67</v>
      </c>
      <c r="B116" s="65" t="s">
        <v>69</v>
      </c>
      <c r="C116" s="65" t="s">
        <v>24</v>
      </c>
      <c r="D116" s="65" t="s">
        <v>15</v>
      </c>
      <c r="E116" s="66">
        <v>661.09</v>
      </c>
      <c r="F116" s="65">
        <v>1</v>
      </c>
      <c r="G116" s="65">
        <v>0.2</v>
      </c>
      <c r="H116" s="67">
        <v>45593</v>
      </c>
      <c r="I116" s="68">
        <v>264.44</v>
      </c>
    </row>
    <row r="117" spans="1:9" ht="15" thickBot="1" x14ac:dyDescent="0.35">
      <c r="A117" s="64" t="s">
        <v>13</v>
      </c>
      <c r="B117" s="65" t="s">
        <v>55</v>
      </c>
      <c r="C117" s="65" t="s">
        <v>11</v>
      </c>
      <c r="D117" s="65" t="s">
        <v>21</v>
      </c>
      <c r="E117" s="66">
        <v>688.83</v>
      </c>
      <c r="F117" s="65">
        <v>15</v>
      </c>
      <c r="G117" s="65">
        <v>0</v>
      </c>
      <c r="H117" s="67">
        <v>45595</v>
      </c>
      <c r="I117" s="68">
        <v>172.21</v>
      </c>
    </row>
    <row r="118" spans="1:9" ht="15" thickBot="1" x14ac:dyDescent="0.35">
      <c r="A118" s="64" t="s">
        <v>73</v>
      </c>
      <c r="B118" s="65" t="s">
        <v>29</v>
      </c>
      <c r="C118" s="65" t="s">
        <v>34</v>
      </c>
      <c r="D118" s="65" t="s">
        <v>12</v>
      </c>
      <c r="E118" s="66">
        <v>1249.0999999999999</v>
      </c>
      <c r="F118" s="65">
        <v>4</v>
      </c>
      <c r="G118" s="65">
        <v>0.05</v>
      </c>
      <c r="H118" s="67">
        <v>45597</v>
      </c>
      <c r="I118" s="68">
        <v>474.66</v>
      </c>
    </row>
    <row r="119" spans="1:9" ht="15" thickBot="1" x14ac:dyDescent="0.35">
      <c r="A119" s="64" t="s">
        <v>44</v>
      </c>
      <c r="B119" s="65" t="s">
        <v>23</v>
      </c>
      <c r="C119" s="65" t="s">
        <v>18</v>
      </c>
      <c r="D119" s="65" t="s">
        <v>39</v>
      </c>
      <c r="E119" s="66">
        <v>1014.22</v>
      </c>
      <c r="F119" s="65">
        <v>14</v>
      </c>
      <c r="G119" s="65">
        <v>0.05</v>
      </c>
      <c r="H119" s="67">
        <v>45599</v>
      </c>
      <c r="I119" s="68">
        <v>433.58</v>
      </c>
    </row>
    <row r="120" spans="1:9" ht="15" thickBot="1" x14ac:dyDescent="0.35">
      <c r="A120" s="64" t="s">
        <v>54</v>
      </c>
      <c r="B120" s="65" t="s">
        <v>48</v>
      </c>
      <c r="C120" s="65" t="s">
        <v>18</v>
      </c>
      <c r="D120" s="65" t="s">
        <v>12</v>
      </c>
      <c r="E120" s="66">
        <v>1010.58</v>
      </c>
      <c r="F120" s="65">
        <v>2</v>
      </c>
      <c r="G120" s="65">
        <v>0.15</v>
      </c>
      <c r="H120" s="67">
        <v>45605</v>
      </c>
      <c r="I120" s="68">
        <v>343.6</v>
      </c>
    </row>
    <row r="121" spans="1:9" ht="15" thickBot="1" x14ac:dyDescent="0.35">
      <c r="A121" s="64" t="s">
        <v>30</v>
      </c>
      <c r="B121" s="65" t="s">
        <v>59</v>
      </c>
      <c r="C121" s="65" t="s">
        <v>24</v>
      </c>
      <c r="D121" s="65" t="s">
        <v>27</v>
      </c>
      <c r="E121" s="66">
        <v>957.29</v>
      </c>
      <c r="F121" s="65">
        <v>4</v>
      </c>
      <c r="G121" s="65">
        <v>0.05</v>
      </c>
      <c r="H121" s="67">
        <v>45605</v>
      </c>
      <c r="I121" s="68">
        <v>318.3</v>
      </c>
    </row>
    <row r="122" spans="1:9" ht="15" thickBot="1" x14ac:dyDescent="0.35">
      <c r="A122" s="64" t="s">
        <v>28</v>
      </c>
      <c r="B122" s="65" t="s">
        <v>45</v>
      </c>
      <c r="C122" s="65" t="s">
        <v>24</v>
      </c>
      <c r="D122" s="65" t="s">
        <v>27</v>
      </c>
      <c r="E122" s="66">
        <v>1077.92</v>
      </c>
      <c r="F122" s="65">
        <v>3</v>
      </c>
      <c r="G122" s="65">
        <v>0.05</v>
      </c>
      <c r="H122" s="67">
        <v>45608</v>
      </c>
      <c r="I122" s="68">
        <v>358.41</v>
      </c>
    </row>
    <row r="123" spans="1:9" ht="15" thickBot="1" x14ac:dyDescent="0.35">
      <c r="A123" s="64" t="s">
        <v>52</v>
      </c>
      <c r="B123" s="65" t="s">
        <v>50</v>
      </c>
      <c r="C123" s="65" t="s">
        <v>20</v>
      </c>
      <c r="D123" s="65" t="s">
        <v>15</v>
      </c>
      <c r="E123" s="66">
        <v>1163.01</v>
      </c>
      <c r="F123" s="65">
        <v>5</v>
      </c>
      <c r="G123" s="65">
        <v>0</v>
      </c>
      <c r="H123" s="67">
        <v>45611</v>
      </c>
      <c r="I123" s="68">
        <v>581.5</v>
      </c>
    </row>
    <row r="124" spans="1:9" ht="15" thickBot="1" x14ac:dyDescent="0.35">
      <c r="A124" s="64" t="s">
        <v>54</v>
      </c>
      <c r="B124" s="65" t="s">
        <v>45</v>
      </c>
      <c r="C124" s="65" t="s">
        <v>18</v>
      </c>
      <c r="D124" s="65" t="s">
        <v>39</v>
      </c>
      <c r="E124" s="66">
        <v>1014.56</v>
      </c>
      <c r="F124" s="65">
        <v>10</v>
      </c>
      <c r="G124" s="65">
        <v>0.1</v>
      </c>
      <c r="H124" s="67">
        <v>45612</v>
      </c>
      <c r="I124" s="68">
        <v>410.9</v>
      </c>
    </row>
    <row r="125" spans="1:9" ht="15" thickBot="1" x14ac:dyDescent="0.35">
      <c r="A125" s="64" t="s">
        <v>9</v>
      </c>
      <c r="B125" s="65" t="s">
        <v>17</v>
      </c>
      <c r="C125" s="65" t="s">
        <v>20</v>
      </c>
      <c r="D125" s="65" t="s">
        <v>21</v>
      </c>
      <c r="E125" s="66">
        <v>718.04</v>
      </c>
      <c r="F125" s="65">
        <v>14</v>
      </c>
      <c r="G125" s="65">
        <v>0</v>
      </c>
      <c r="H125" s="67">
        <v>45613</v>
      </c>
      <c r="I125" s="68">
        <v>179.51</v>
      </c>
    </row>
    <row r="126" spans="1:9" ht="15" thickBot="1" x14ac:dyDescent="0.35">
      <c r="A126" s="64" t="s">
        <v>72</v>
      </c>
      <c r="B126" s="65" t="s">
        <v>17</v>
      </c>
      <c r="C126" s="65" t="s">
        <v>34</v>
      </c>
      <c r="D126" s="65" t="s">
        <v>15</v>
      </c>
      <c r="E126" s="66">
        <v>1277.8499999999999</v>
      </c>
      <c r="F126" s="65">
        <v>18</v>
      </c>
      <c r="G126" s="65">
        <v>0.2</v>
      </c>
      <c r="H126" s="67">
        <v>45613</v>
      </c>
      <c r="I126" s="68">
        <v>511.14</v>
      </c>
    </row>
    <row r="127" spans="1:9" ht="15" thickBot="1" x14ac:dyDescent="0.35">
      <c r="A127" s="64" t="s">
        <v>70</v>
      </c>
      <c r="B127" s="65" t="s">
        <v>23</v>
      </c>
      <c r="C127" s="65" t="s">
        <v>24</v>
      </c>
      <c r="D127" s="65" t="s">
        <v>21</v>
      </c>
      <c r="E127" s="66">
        <v>706.73</v>
      </c>
      <c r="F127" s="65">
        <v>1</v>
      </c>
      <c r="G127" s="65">
        <v>0.15</v>
      </c>
      <c r="H127" s="67">
        <v>45613</v>
      </c>
      <c r="I127" s="68">
        <v>150.18</v>
      </c>
    </row>
    <row r="128" spans="1:9" ht="15" thickBot="1" x14ac:dyDescent="0.35">
      <c r="A128" s="64" t="s">
        <v>65</v>
      </c>
      <c r="B128" s="65" t="s">
        <v>50</v>
      </c>
      <c r="C128" s="65" t="s">
        <v>18</v>
      </c>
      <c r="D128" s="65" t="s">
        <v>21</v>
      </c>
      <c r="E128" s="66">
        <v>1410.59</v>
      </c>
      <c r="F128" s="65">
        <v>15</v>
      </c>
      <c r="G128" s="65">
        <v>0</v>
      </c>
      <c r="H128" s="67">
        <v>45615</v>
      </c>
      <c r="I128" s="68">
        <v>352.65</v>
      </c>
    </row>
    <row r="129" spans="1:9" ht="15" thickBot="1" x14ac:dyDescent="0.35">
      <c r="A129" s="64" t="s">
        <v>32</v>
      </c>
      <c r="B129" s="65" t="s">
        <v>61</v>
      </c>
      <c r="C129" s="65" t="s">
        <v>20</v>
      </c>
      <c r="D129" s="65" t="s">
        <v>27</v>
      </c>
      <c r="E129" s="66">
        <v>1350.33</v>
      </c>
      <c r="F129" s="65">
        <v>10</v>
      </c>
      <c r="G129" s="65">
        <v>0</v>
      </c>
      <c r="H129" s="67">
        <v>45615</v>
      </c>
      <c r="I129" s="68">
        <v>472.62</v>
      </c>
    </row>
    <row r="130" spans="1:9" ht="15" thickBot="1" x14ac:dyDescent="0.35">
      <c r="A130" s="64" t="s">
        <v>41</v>
      </c>
      <c r="B130" s="65" t="s">
        <v>45</v>
      </c>
      <c r="C130" s="65" t="s">
        <v>18</v>
      </c>
      <c r="D130" s="65" t="s">
        <v>21</v>
      </c>
      <c r="E130" s="66">
        <v>919.18</v>
      </c>
      <c r="F130" s="65">
        <v>4</v>
      </c>
      <c r="G130" s="65">
        <v>0.15</v>
      </c>
      <c r="H130" s="67">
        <v>45615</v>
      </c>
      <c r="I130" s="68">
        <v>195.33</v>
      </c>
    </row>
    <row r="131" spans="1:9" ht="15" thickBot="1" x14ac:dyDescent="0.35">
      <c r="A131" s="64" t="s">
        <v>74</v>
      </c>
      <c r="B131" s="65" t="s">
        <v>23</v>
      </c>
      <c r="C131" s="65" t="s">
        <v>11</v>
      </c>
      <c r="D131" s="65" t="s">
        <v>21</v>
      </c>
      <c r="E131" s="66">
        <v>258.51</v>
      </c>
      <c r="F131" s="65">
        <v>19</v>
      </c>
      <c r="G131" s="65">
        <v>0</v>
      </c>
      <c r="H131" s="67">
        <v>45616</v>
      </c>
      <c r="I131" s="68">
        <v>64.63</v>
      </c>
    </row>
    <row r="132" spans="1:9" ht="15" thickBot="1" x14ac:dyDescent="0.35">
      <c r="A132" s="64" t="s">
        <v>63</v>
      </c>
      <c r="B132" s="65" t="s">
        <v>61</v>
      </c>
      <c r="C132" s="65" t="s">
        <v>18</v>
      </c>
      <c r="D132" s="65" t="s">
        <v>12</v>
      </c>
      <c r="E132" s="66">
        <v>1213.48</v>
      </c>
      <c r="F132" s="65">
        <v>5</v>
      </c>
      <c r="G132" s="65">
        <v>0.05</v>
      </c>
      <c r="H132" s="67">
        <v>45616</v>
      </c>
      <c r="I132" s="68">
        <v>461.12</v>
      </c>
    </row>
    <row r="133" spans="1:9" ht="15" thickBot="1" x14ac:dyDescent="0.35">
      <c r="A133" s="64" t="s">
        <v>57</v>
      </c>
      <c r="B133" s="65" t="s">
        <v>38</v>
      </c>
      <c r="C133" s="65" t="s">
        <v>34</v>
      </c>
      <c r="D133" s="65" t="s">
        <v>12</v>
      </c>
      <c r="E133" s="66">
        <v>1150.28</v>
      </c>
      <c r="F133" s="65">
        <v>8</v>
      </c>
      <c r="G133" s="65">
        <v>0.05</v>
      </c>
      <c r="H133" s="67">
        <v>45622</v>
      </c>
      <c r="I133" s="68">
        <v>437.11</v>
      </c>
    </row>
    <row r="134" spans="1:9" ht="15" thickBot="1" x14ac:dyDescent="0.35">
      <c r="A134" s="64" t="s">
        <v>37</v>
      </c>
      <c r="B134" s="65" t="s">
        <v>71</v>
      </c>
      <c r="C134" s="65" t="s">
        <v>20</v>
      </c>
      <c r="D134" s="65" t="s">
        <v>27</v>
      </c>
      <c r="E134" s="66">
        <v>853.86</v>
      </c>
      <c r="F134" s="65">
        <v>8</v>
      </c>
      <c r="G134" s="65">
        <v>0.1</v>
      </c>
      <c r="H134" s="67">
        <v>45622</v>
      </c>
      <c r="I134" s="68">
        <v>268.97000000000003</v>
      </c>
    </row>
    <row r="135" spans="1:9" ht="15" thickBot="1" x14ac:dyDescent="0.35">
      <c r="A135" s="64" t="s">
        <v>75</v>
      </c>
      <c r="B135" s="65" t="s">
        <v>45</v>
      </c>
      <c r="C135" s="65" t="s">
        <v>20</v>
      </c>
      <c r="D135" s="65" t="s">
        <v>21</v>
      </c>
      <c r="E135" s="66">
        <v>1061.04</v>
      </c>
      <c r="F135" s="65">
        <v>1</v>
      </c>
      <c r="G135" s="65">
        <v>0</v>
      </c>
      <c r="H135" s="67">
        <v>45624</v>
      </c>
      <c r="I135" s="68">
        <v>265.26</v>
      </c>
    </row>
    <row r="136" spans="1:9" ht="15" thickBot="1" x14ac:dyDescent="0.35">
      <c r="A136" s="64" t="s">
        <v>28</v>
      </c>
      <c r="B136" s="65" t="s">
        <v>43</v>
      </c>
      <c r="C136" s="65" t="s">
        <v>11</v>
      </c>
      <c r="D136" s="65" t="s">
        <v>21</v>
      </c>
      <c r="E136" s="66">
        <v>894.55</v>
      </c>
      <c r="F136" s="65">
        <v>19</v>
      </c>
      <c r="G136" s="65">
        <v>0.2</v>
      </c>
      <c r="H136" s="67">
        <v>45625</v>
      </c>
      <c r="I136" s="68">
        <v>178.91</v>
      </c>
    </row>
    <row r="137" spans="1:9" ht="15" thickBot="1" x14ac:dyDescent="0.35">
      <c r="A137" s="64" t="s">
        <v>25</v>
      </c>
      <c r="B137" s="65" t="s">
        <v>38</v>
      </c>
      <c r="C137" s="65" t="s">
        <v>24</v>
      </c>
      <c r="D137" s="65" t="s">
        <v>39</v>
      </c>
      <c r="E137" s="66">
        <v>833.91</v>
      </c>
      <c r="F137" s="65">
        <v>3</v>
      </c>
      <c r="G137" s="65">
        <v>0.05</v>
      </c>
      <c r="H137" s="67">
        <v>45626</v>
      </c>
      <c r="I137" s="68">
        <v>356.5</v>
      </c>
    </row>
    <row r="138" spans="1:9" ht="15" thickBot="1" x14ac:dyDescent="0.35">
      <c r="A138" s="64" t="s">
        <v>58</v>
      </c>
      <c r="B138" s="65" t="s">
        <v>71</v>
      </c>
      <c r="C138" s="65" t="s">
        <v>11</v>
      </c>
      <c r="D138" s="65" t="s">
        <v>27</v>
      </c>
      <c r="E138" s="66">
        <v>820.19</v>
      </c>
      <c r="F138" s="65">
        <v>4</v>
      </c>
      <c r="G138" s="65">
        <v>0.2</v>
      </c>
      <c r="H138" s="67">
        <v>45630</v>
      </c>
      <c r="I138" s="68">
        <v>229.65</v>
      </c>
    </row>
    <row r="139" spans="1:9" ht="15" thickBot="1" x14ac:dyDescent="0.35">
      <c r="A139" s="64" t="s">
        <v>58</v>
      </c>
      <c r="B139" s="65" t="s">
        <v>38</v>
      </c>
      <c r="C139" s="65" t="s">
        <v>34</v>
      </c>
      <c r="D139" s="65" t="s">
        <v>21</v>
      </c>
      <c r="E139" s="66">
        <v>511.74</v>
      </c>
      <c r="F139" s="65">
        <v>8</v>
      </c>
      <c r="G139" s="65">
        <v>0.05</v>
      </c>
      <c r="H139" s="67">
        <v>45631</v>
      </c>
      <c r="I139" s="68">
        <v>121.54</v>
      </c>
    </row>
    <row r="140" spans="1:9" ht="15" thickBot="1" x14ac:dyDescent="0.35">
      <c r="A140" s="64" t="s">
        <v>65</v>
      </c>
      <c r="B140" s="65" t="s">
        <v>61</v>
      </c>
      <c r="C140" s="65" t="s">
        <v>20</v>
      </c>
      <c r="D140" s="65" t="s">
        <v>27</v>
      </c>
      <c r="E140" s="66">
        <v>806.03</v>
      </c>
      <c r="F140" s="65">
        <v>19</v>
      </c>
      <c r="G140" s="65">
        <v>0.05</v>
      </c>
      <c r="H140" s="67">
        <v>45638</v>
      </c>
      <c r="I140" s="68">
        <v>268</v>
      </c>
    </row>
    <row r="141" spans="1:9" ht="15" thickBot="1" x14ac:dyDescent="0.35">
      <c r="A141" s="64" t="s">
        <v>28</v>
      </c>
      <c r="B141" s="65" t="s">
        <v>26</v>
      </c>
      <c r="C141" s="65" t="s">
        <v>34</v>
      </c>
      <c r="D141" s="65" t="s">
        <v>27</v>
      </c>
      <c r="E141" s="66">
        <v>1432.47</v>
      </c>
      <c r="F141" s="65">
        <v>16</v>
      </c>
      <c r="G141" s="65">
        <v>0.15</v>
      </c>
      <c r="H141" s="67">
        <v>45640</v>
      </c>
      <c r="I141" s="68">
        <v>426.16</v>
      </c>
    </row>
    <row r="142" spans="1:9" ht="15" thickBot="1" x14ac:dyDescent="0.35">
      <c r="A142" s="64" t="s">
        <v>74</v>
      </c>
      <c r="B142" s="65" t="s">
        <v>29</v>
      </c>
      <c r="C142" s="65" t="s">
        <v>34</v>
      </c>
      <c r="D142" s="65" t="s">
        <v>21</v>
      </c>
      <c r="E142" s="66">
        <v>1488.58</v>
      </c>
      <c r="F142" s="65">
        <v>10</v>
      </c>
      <c r="G142" s="65">
        <v>0.15</v>
      </c>
      <c r="H142" s="67">
        <v>45640</v>
      </c>
      <c r="I142" s="68">
        <v>316.32</v>
      </c>
    </row>
    <row r="143" spans="1:9" ht="15" thickBot="1" x14ac:dyDescent="0.35">
      <c r="A143" s="64" t="s">
        <v>30</v>
      </c>
      <c r="B143" s="65" t="s">
        <v>66</v>
      </c>
      <c r="C143" s="65" t="s">
        <v>18</v>
      </c>
      <c r="D143" s="65" t="s">
        <v>12</v>
      </c>
      <c r="E143" s="66">
        <v>1231.26</v>
      </c>
      <c r="F143" s="65">
        <v>9</v>
      </c>
      <c r="G143" s="65">
        <v>0</v>
      </c>
      <c r="H143" s="67">
        <v>45646</v>
      </c>
      <c r="I143" s="68">
        <v>492.5</v>
      </c>
    </row>
    <row r="144" spans="1:9" ht="15" thickBot="1" x14ac:dyDescent="0.35">
      <c r="A144" s="64" t="s">
        <v>30</v>
      </c>
      <c r="B144" s="65" t="s">
        <v>43</v>
      </c>
      <c r="C144" s="65" t="s">
        <v>11</v>
      </c>
      <c r="D144" s="65" t="s">
        <v>21</v>
      </c>
      <c r="E144" s="66">
        <v>1161.67</v>
      </c>
      <c r="F144" s="65">
        <v>19</v>
      </c>
      <c r="G144" s="65">
        <v>0.2</v>
      </c>
      <c r="H144" s="67">
        <v>45647</v>
      </c>
      <c r="I144" s="68">
        <v>232.33</v>
      </c>
    </row>
    <row r="145" spans="1:9" ht="15" thickBot="1" x14ac:dyDescent="0.35">
      <c r="A145" s="64" t="s">
        <v>49</v>
      </c>
      <c r="B145" s="65" t="s">
        <v>45</v>
      </c>
      <c r="C145" s="65" t="s">
        <v>34</v>
      </c>
      <c r="D145" s="65" t="s">
        <v>39</v>
      </c>
      <c r="E145" s="66">
        <v>388.23</v>
      </c>
      <c r="F145" s="65">
        <v>16</v>
      </c>
      <c r="G145" s="65">
        <v>0.05</v>
      </c>
      <c r="H145" s="67">
        <v>45650</v>
      </c>
      <c r="I145" s="68">
        <v>165.97</v>
      </c>
    </row>
    <row r="146" spans="1:9" ht="15" thickBot="1" x14ac:dyDescent="0.35">
      <c r="A146" s="64" t="s">
        <v>72</v>
      </c>
      <c r="B146" s="65" t="s">
        <v>31</v>
      </c>
      <c r="C146" s="65" t="s">
        <v>24</v>
      </c>
      <c r="D146" s="65" t="s">
        <v>15</v>
      </c>
      <c r="E146" s="66">
        <v>1589.42</v>
      </c>
      <c r="F146" s="65">
        <v>6</v>
      </c>
      <c r="G146" s="65">
        <v>0.15</v>
      </c>
      <c r="H146" s="67">
        <v>45651</v>
      </c>
      <c r="I146" s="68">
        <v>675.5</v>
      </c>
    </row>
    <row r="147" spans="1:9" ht="15" thickBot="1" x14ac:dyDescent="0.35">
      <c r="A147" s="64" t="s">
        <v>28</v>
      </c>
      <c r="B147" s="65" t="s">
        <v>71</v>
      </c>
      <c r="C147" s="65" t="s">
        <v>24</v>
      </c>
      <c r="D147" s="65" t="s">
        <v>15</v>
      </c>
      <c r="E147" s="66">
        <v>336.66</v>
      </c>
      <c r="F147" s="65">
        <v>13</v>
      </c>
      <c r="G147" s="65">
        <v>0.2</v>
      </c>
      <c r="H147" s="67">
        <v>45651</v>
      </c>
      <c r="I147" s="68">
        <v>134.66</v>
      </c>
    </row>
    <row r="148" spans="1:9" ht="15" thickBot="1" x14ac:dyDescent="0.35">
      <c r="A148" s="64" t="s">
        <v>49</v>
      </c>
      <c r="B148" s="65" t="s">
        <v>23</v>
      </c>
      <c r="C148" s="65" t="s">
        <v>11</v>
      </c>
      <c r="D148" s="65" t="s">
        <v>12</v>
      </c>
      <c r="E148" s="66">
        <v>1353.79</v>
      </c>
      <c r="F148" s="65">
        <v>14</v>
      </c>
      <c r="G148" s="65">
        <v>0.1</v>
      </c>
      <c r="H148" s="67">
        <v>45656</v>
      </c>
      <c r="I148" s="68">
        <v>487.36</v>
      </c>
    </row>
    <row r="149" spans="1:9" ht="15" thickBot="1" x14ac:dyDescent="0.35">
      <c r="A149" s="64" t="s">
        <v>63</v>
      </c>
      <c r="B149" s="65" t="s">
        <v>69</v>
      </c>
      <c r="C149" s="65" t="s">
        <v>34</v>
      </c>
      <c r="D149" s="65" t="s">
        <v>15</v>
      </c>
      <c r="E149" s="66">
        <v>662.61</v>
      </c>
      <c r="F149" s="65">
        <v>11</v>
      </c>
      <c r="G149" s="65">
        <v>0.05</v>
      </c>
      <c r="H149" s="67">
        <v>45658</v>
      </c>
      <c r="I149" s="68">
        <v>314.74</v>
      </c>
    </row>
    <row r="150" spans="1:9" ht="15" thickBot="1" x14ac:dyDescent="0.35">
      <c r="A150" s="64" t="s">
        <v>52</v>
      </c>
      <c r="B150" s="65" t="s">
        <v>48</v>
      </c>
      <c r="C150" s="65" t="s">
        <v>24</v>
      </c>
      <c r="D150" s="65" t="s">
        <v>39</v>
      </c>
      <c r="E150" s="66">
        <v>309.42</v>
      </c>
      <c r="F150" s="65">
        <v>1</v>
      </c>
      <c r="G150" s="65">
        <v>0.2</v>
      </c>
      <c r="H150" s="67">
        <v>45658</v>
      </c>
      <c r="I150" s="68">
        <v>111.39</v>
      </c>
    </row>
    <row r="151" spans="1:9" ht="15" thickBot="1" x14ac:dyDescent="0.35">
      <c r="A151" s="64" t="s">
        <v>63</v>
      </c>
      <c r="B151" s="65" t="s">
        <v>29</v>
      </c>
      <c r="C151" s="65" t="s">
        <v>24</v>
      </c>
      <c r="D151" s="65" t="s">
        <v>12</v>
      </c>
      <c r="E151" s="66">
        <v>884.63</v>
      </c>
      <c r="F151" s="65">
        <v>18</v>
      </c>
      <c r="G151" s="65">
        <v>0.1</v>
      </c>
      <c r="H151" s="67">
        <v>45659</v>
      </c>
      <c r="I151" s="68">
        <v>318.47000000000003</v>
      </c>
    </row>
    <row r="152" spans="1:9" ht="15" thickBot="1" x14ac:dyDescent="0.35">
      <c r="A152" s="64" t="s">
        <v>52</v>
      </c>
      <c r="B152" s="65" t="s">
        <v>23</v>
      </c>
      <c r="C152" s="65" t="s">
        <v>34</v>
      </c>
      <c r="D152" s="65" t="s">
        <v>39</v>
      </c>
      <c r="E152" s="66">
        <v>745.05</v>
      </c>
      <c r="F152" s="65">
        <v>10</v>
      </c>
      <c r="G152" s="65">
        <v>0.1</v>
      </c>
      <c r="H152" s="67">
        <v>45660</v>
      </c>
      <c r="I152" s="68">
        <v>301.75</v>
      </c>
    </row>
    <row r="153" spans="1:9" ht="15" thickBot="1" x14ac:dyDescent="0.35">
      <c r="A153" s="64" t="s">
        <v>60</v>
      </c>
      <c r="B153" s="65" t="s">
        <v>17</v>
      </c>
      <c r="C153" s="65" t="s">
        <v>20</v>
      </c>
      <c r="D153" s="65" t="s">
        <v>15</v>
      </c>
      <c r="E153" s="66">
        <v>870.23</v>
      </c>
      <c r="F153" s="65">
        <v>5</v>
      </c>
      <c r="G153" s="65">
        <v>0.05</v>
      </c>
      <c r="H153" s="67">
        <v>45660</v>
      </c>
      <c r="I153" s="68">
        <v>413.36</v>
      </c>
    </row>
    <row r="154" spans="1:9" ht="15" thickBot="1" x14ac:dyDescent="0.35">
      <c r="A154" s="64" t="s">
        <v>35</v>
      </c>
      <c r="B154" s="65" t="s">
        <v>29</v>
      </c>
      <c r="C154" s="65" t="s">
        <v>11</v>
      </c>
      <c r="D154" s="65" t="s">
        <v>27</v>
      </c>
      <c r="E154" s="66">
        <v>862.19</v>
      </c>
      <c r="F154" s="65">
        <v>18</v>
      </c>
      <c r="G154" s="65">
        <v>0.05</v>
      </c>
      <c r="H154" s="67">
        <v>45663</v>
      </c>
      <c r="I154" s="68">
        <v>286.68</v>
      </c>
    </row>
    <row r="155" spans="1:9" ht="15" thickBot="1" x14ac:dyDescent="0.35">
      <c r="A155" s="64" t="s">
        <v>73</v>
      </c>
      <c r="B155" s="65" t="s">
        <v>59</v>
      </c>
      <c r="C155" s="65" t="s">
        <v>24</v>
      </c>
      <c r="D155" s="65" t="s">
        <v>15</v>
      </c>
      <c r="E155" s="66">
        <v>1171.18</v>
      </c>
      <c r="F155" s="65">
        <v>19</v>
      </c>
      <c r="G155" s="65">
        <v>0.05</v>
      </c>
      <c r="H155" s="67">
        <v>45667</v>
      </c>
      <c r="I155" s="68">
        <v>556.30999999999995</v>
      </c>
    </row>
    <row r="156" spans="1:9" ht="15" thickBot="1" x14ac:dyDescent="0.35">
      <c r="A156" s="64" t="s">
        <v>58</v>
      </c>
      <c r="B156" s="65" t="s">
        <v>14</v>
      </c>
      <c r="C156" s="65" t="s">
        <v>20</v>
      </c>
      <c r="D156" s="65" t="s">
        <v>27</v>
      </c>
      <c r="E156" s="66">
        <v>1054.56</v>
      </c>
      <c r="F156" s="65">
        <v>11</v>
      </c>
      <c r="G156" s="65">
        <v>0.1</v>
      </c>
      <c r="H156" s="67">
        <v>45669</v>
      </c>
      <c r="I156" s="68">
        <v>332.19</v>
      </c>
    </row>
    <row r="157" spans="1:9" ht="15" thickBot="1" x14ac:dyDescent="0.35">
      <c r="A157" s="64" t="s">
        <v>58</v>
      </c>
      <c r="B157" s="65" t="s">
        <v>23</v>
      </c>
      <c r="C157" s="65" t="s">
        <v>24</v>
      </c>
      <c r="D157" s="65" t="s">
        <v>21</v>
      </c>
      <c r="E157" s="66">
        <v>1681.21</v>
      </c>
      <c r="F157" s="65">
        <v>5</v>
      </c>
      <c r="G157" s="65">
        <v>0.2</v>
      </c>
      <c r="H157" s="67">
        <v>45670</v>
      </c>
      <c r="I157" s="68">
        <v>336.24</v>
      </c>
    </row>
    <row r="158" spans="1:9" ht="15" thickBot="1" x14ac:dyDescent="0.35">
      <c r="A158" s="64" t="s">
        <v>58</v>
      </c>
      <c r="B158" s="65" t="s">
        <v>36</v>
      </c>
      <c r="C158" s="65" t="s">
        <v>11</v>
      </c>
      <c r="D158" s="65" t="s">
        <v>15</v>
      </c>
      <c r="E158" s="66">
        <v>379.77</v>
      </c>
      <c r="F158" s="65">
        <v>9</v>
      </c>
      <c r="G158" s="65">
        <v>0.05</v>
      </c>
      <c r="H158" s="67">
        <v>45673</v>
      </c>
      <c r="I158" s="68">
        <v>180.39</v>
      </c>
    </row>
    <row r="159" spans="1:9" ht="15" thickBot="1" x14ac:dyDescent="0.35">
      <c r="A159" s="64" t="s">
        <v>44</v>
      </c>
      <c r="B159" s="65" t="s">
        <v>45</v>
      </c>
      <c r="C159" s="65" t="s">
        <v>34</v>
      </c>
      <c r="D159" s="65" t="s">
        <v>15</v>
      </c>
      <c r="E159" s="66">
        <v>1076.33</v>
      </c>
      <c r="F159" s="65">
        <v>2</v>
      </c>
      <c r="G159" s="65">
        <v>0.1</v>
      </c>
      <c r="H159" s="67">
        <v>45674</v>
      </c>
      <c r="I159" s="68">
        <v>484.35</v>
      </c>
    </row>
    <row r="160" spans="1:9" ht="15" thickBot="1" x14ac:dyDescent="0.35">
      <c r="A160" s="64" t="s">
        <v>44</v>
      </c>
      <c r="B160" s="65" t="s">
        <v>31</v>
      </c>
      <c r="C160" s="65" t="s">
        <v>34</v>
      </c>
      <c r="D160" s="65" t="s">
        <v>39</v>
      </c>
      <c r="E160" s="66">
        <v>1250.71</v>
      </c>
      <c r="F160" s="65">
        <v>7</v>
      </c>
      <c r="G160" s="65">
        <v>0</v>
      </c>
      <c r="H160" s="67">
        <v>45674</v>
      </c>
      <c r="I160" s="68">
        <v>562.82000000000005</v>
      </c>
    </row>
    <row r="161" spans="1:9" ht="15" thickBot="1" x14ac:dyDescent="0.35">
      <c r="A161" s="64" t="s">
        <v>40</v>
      </c>
      <c r="B161" s="65" t="s">
        <v>17</v>
      </c>
      <c r="C161" s="65" t="s">
        <v>20</v>
      </c>
      <c r="D161" s="65" t="s">
        <v>15</v>
      </c>
      <c r="E161" s="66">
        <v>1118.3399999999999</v>
      </c>
      <c r="F161" s="65">
        <v>6</v>
      </c>
      <c r="G161" s="65">
        <v>0.2</v>
      </c>
      <c r="H161" s="67">
        <v>45674</v>
      </c>
      <c r="I161" s="68">
        <v>447.34</v>
      </c>
    </row>
    <row r="162" spans="1:9" ht="15" thickBot="1" x14ac:dyDescent="0.35">
      <c r="A162" s="64" t="s">
        <v>70</v>
      </c>
      <c r="B162" s="65" t="s">
        <v>53</v>
      </c>
      <c r="C162" s="65" t="s">
        <v>24</v>
      </c>
      <c r="D162" s="65" t="s">
        <v>15</v>
      </c>
      <c r="E162" s="66">
        <v>1622.62</v>
      </c>
      <c r="F162" s="65">
        <v>12</v>
      </c>
      <c r="G162" s="65">
        <v>0.2</v>
      </c>
      <c r="H162" s="67">
        <v>45677</v>
      </c>
      <c r="I162" s="68">
        <v>649.04999999999995</v>
      </c>
    </row>
    <row r="163" spans="1:9" ht="15" thickBot="1" x14ac:dyDescent="0.35">
      <c r="A163" s="64" t="s">
        <v>75</v>
      </c>
      <c r="B163" s="65" t="s">
        <v>48</v>
      </c>
      <c r="C163" s="65" t="s">
        <v>24</v>
      </c>
      <c r="D163" s="65" t="s">
        <v>12</v>
      </c>
      <c r="E163" s="66">
        <v>640.64</v>
      </c>
      <c r="F163" s="65">
        <v>11</v>
      </c>
      <c r="G163" s="65">
        <v>0.2</v>
      </c>
      <c r="H163" s="67">
        <v>45678</v>
      </c>
      <c r="I163" s="68">
        <v>205</v>
      </c>
    </row>
    <row r="164" spans="1:9" ht="15" thickBot="1" x14ac:dyDescent="0.35">
      <c r="A164" s="64" t="s">
        <v>22</v>
      </c>
      <c r="B164" s="65" t="s">
        <v>43</v>
      </c>
      <c r="C164" s="65" t="s">
        <v>11</v>
      </c>
      <c r="D164" s="65" t="s">
        <v>15</v>
      </c>
      <c r="E164" s="66">
        <v>585.16</v>
      </c>
      <c r="F164" s="65">
        <v>17</v>
      </c>
      <c r="G164" s="65">
        <v>0.1</v>
      </c>
      <c r="H164" s="67">
        <v>45684</v>
      </c>
      <c r="I164" s="68">
        <v>263.32</v>
      </c>
    </row>
    <row r="165" spans="1:9" ht="15" thickBot="1" x14ac:dyDescent="0.35">
      <c r="A165" s="64" t="s">
        <v>22</v>
      </c>
      <c r="B165" s="65" t="s">
        <v>31</v>
      </c>
      <c r="C165" s="65" t="s">
        <v>18</v>
      </c>
      <c r="D165" s="65" t="s">
        <v>15</v>
      </c>
      <c r="E165" s="66">
        <v>1109.98</v>
      </c>
      <c r="F165" s="65">
        <v>5</v>
      </c>
      <c r="G165" s="65">
        <v>0.2</v>
      </c>
      <c r="H165" s="67">
        <v>45690</v>
      </c>
      <c r="I165" s="68">
        <v>443.99</v>
      </c>
    </row>
    <row r="166" spans="1:9" ht="15" thickBot="1" x14ac:dyDescent="0.35">
      <c r="A166" s="64" t="s">
        <v>58</v>
      </c>
      <c r="B166" s="65" t="s">
        <v>45</v>
      </c>
      <c r="C166" s="65" t="s">
        <v>18</v>
      </c>
      <c r="D166" s="65" t="s">
        <v>12</v>
      </c>
      <c r="E166" s="66">
        <v>1098.08</v>
      </c>
      <c r="F166" s="65">
        <v>9</v>
      </c>
      <c r="G166" s="65">
        <v>0.1</v>
      </c>
      <c r="H166" s="67">
        <v>45692</v>
      </c>
      <c r="I166" s="68">
        <v>395.31</v>
      </c>
    </row>
    <row r="167" spans="1:9" ht="15" thickBot="1" x14ac:dyDescent="0.35">
      <c r="A167" s="64" t="s">
        <v>65</v>
      </c>
      <c r="B167" s="65" t="s">
        <v>48</v>
      </c>
      <c r="C167" s="65" t="s">
        <v>11</v>
      </c>
      <c r="D167" s="65" t="s">
        <v>39</v>
      </c>
      <c r="E167" s="66">
        <v>827.25</v>
      </c>
      <c r="F167" s="65">
        <v>7</v>
      </c>
      <c r="G167" s="65">
        <v>0.1</v>
      </c>
      <c r="H167" s="67">
        <v>45693</v>
      </c>
      <c r="I167" s="68">
        <v>335.04</v>
      </c>
    </row>
    <row r="168" spans="1:9" ht="15" thickBot="1" x14ac:dyDescent="0.35">
      <c r="A168" s="64" t="s">
        <v>70</v>
      </c>
      <c r="B168" s="65" t="s">
        <v>29</v>
      </c>
      <c r="C168" s="65" t="s">
        <v>34</v>
      </c>
      <c r="D168" s="65" t="s">
        <v>15</v>
      </c>
      <c r="E168" s="66">
        <v>741.88</v>
      </c>
      <c r="F168" s="65">
        <v>16</v>
      </c>
      <c r="G168" s="65">
        <v>0.1</v>
      </c>
      <c r="H168" s="67">
        <v>45695</v>
      </c>
      <c r="I168" s="68">
        <v>333.85</v>
      </c>
    </row>
    <row r="169" spans="1:9" ht="15" thickBot="1" x14ac:dyDescent="0.35">
      <c r="A169" s="64" t="s">
        <v>72</v>
      </c>
      <c r="B169" s="65" t="s">
        <v>10</v>
      </c>
      <c r="C169" s="65" t="s">
        <v>18</v>
      </c>
      <c r="D169" s="65" t="s">
        <v>39</v>
      </c>
      <c r="E169" s="66">
        <v>1311.26</v>
      </c>
      <c r="F169" s="65">
        <v>6</v>
      </c>
      <c r="G169" s="65">
        <v>0.1</v>
      </c>
      <c r="H169" s="67">
        <v>45698</v>
      </c>
      <c r="I169" s="68">
        <v>531.05999999999995</v>
      </c>
    </row>
    <row r="170" spans="1:9" ht="15" thickBot="1" x14ac:dyDescent="0.35">
      <c r="A170" s="64" t="s">
        <v>72</v>
      </c>
      <c r="B170" s="65" t="s">
        <v>31</v>
      </c>
      <c r="C170" s="65" t="s">
        <v>20</v>
      </c>
      <c r="D170" s="65" t="s">
        <v>39</v>
      </c>
      <c r="E170" s="66">
        <v>573.32000000000005</v>
      </c>
      <c r="F170" s="65">
        <v>19</v>
      </c>
      <c r="G170" s="65">
        <v>0.1</v>
      </c>
      <c r="H170" s="67">
        <v>45703</v>
      </c>
      <c r="I170" s="68">
        <v>232.19</v>
      </c>
    </row>
    <row r="171" spans="1:9" ht="15" thickBot="1" x14ac:dyDescent="0.35">
      <c r="A171" s="64" t="s">
        <v>52</v>
      </c>
      <c r="B171" s="65" t="s">
        <v>23</v>
      </c>
      <c r="C171" s="65" t="s">
        <v>11</v>
      </c>
      <c r="D171" s="65" t="s">
        <v>21</v>
      </c>
      <c r="E171" s="66">
        <v>1115.22</v>
      </c>
      <c r="F171" s="65">
        <v>14</v>
      </c>
      <c r="G171" s="65">
        <v>0.2</v>
      </c>
      <c r="H171" s="67">
        <v>45705</v>
      </c>
      <c r="I171" s="68">
        <v>223.04</v>
      </c>
    </row>
    <row r="172" spans="1:9" ht="15" thickBot="1" x14ac:dyDescent="0.35">
      <c r="A172" s="64" t="s">
        <v>13</v>
      </c>
      <c r="B172" s="65" t="s">
        <v>45</v>
      </c>
      <c r="C172" s="65" t="s">
        <v>24</v>
      </c>
      <c r="D172" s="65" t="s">
        <v>15</v>
      </c>
      <c r="E172" s="66">
        <v>845.84</v>
      </c>
      <c r="F172" s="65">
        <v>4</v>
      </c>
      <c r="G172" s="65">
        <v>0</v>
      </c>
      <c r="H172" s="67">
        <v>45707</v>
      </c>
      <c r="I172" s="68">
        <v>422.92</v>
      </c>
    </row>
    <row r="173" spans="1:9" ht="15" thickBot="1" x14ac:dyDescent="0.35">
      <c r="A173" s="64" t="s">
        <v>30</v>
      </c>
      <c r="B173" s="65" t="s">
        <v>55</v>
      </c>
      <c r="C173" s="65" t="s">
        <v>11</v>
      </c>
      <c r="D173" s="65" t="s">
        <v>21</v>
      </c>
      <c r="E173" s="66">
        <v>1029.8</v>
      </c>
      <c r="F173" s="65">
        <v>3</v>
      </c>
      <c r="G173" s="65">
        <v>0</v>
      </c>
      <c r="H173" s="67">
        <v>45708</v>
      </c>
      <c r="I173" s="68">
        <v>257.45</v>
      </c>
    </row>
    <row r="174" spans="1:9" ht="15" thickBot="1" x14ac:dyDescent="0.35">
      <c r="A174" s="64" t="s">
        <v>32</v>
      </c>
      <c r="B174" s="65" t="s">
        <v>31</v>
      </c>
      <c r="C174" s="65" t="s">
        <v>24</v>
      </c>
      <c r="D174" s="65" t="s">
        <v>12</v>
      </c>
      <c r="E174" s="66">
        <v>1189.83</v>
      </c>
      <c r="F174" s="65">
        <v>2</v>
      </c>
      <c r="G174" s="65">
        <v>0.2</v>
      </c>
      <c r="H174" s="67">
        <v>45709</v>
      </c>
      <c r="I174" s="68">
        <v>380.75</v>
      </c>
    </row>
    <row r="175" spans="1:9" ht="15" thickBot="1" x14ac:dyDescent="0.35">
      <c r="A175" s="64" t="s">
        <v>67</v>
      </c>
      <c r="B175" s="65" t="s">
        <v>43</v>
      </c>
      <c r="C175" s="65" t="s">
        <v>20</v>
      </c>
      <c r="D175" s="65" t="s">
        <v>12</v>
      </c>
      <c r="E175" s="66">
        <v>704.28</v>
      </c>
      <c r="F175" s="65">
        <v>15</v>
      </c>
      <c r="G175" s="65">
        <v>0.2</v>
      </c>
      <c r="H175" s="67">
        <v>45712</v>
      </c>
      <c r="I175" s="68">
        <v>225.37</v>
      </c>
    </row>
    <row r="176" spans="1:9" ht="15" thickBot="1" x14ac:dyDescent="0.35">
      <c r="A176" s="64" t="s">
        <v>65</v>
      </c>
      <c r="B176" s="65" t="s">
        <v>47</v>
      </c>
      <c r="C176" s="65" t="s">
        <v>34</v>
      </c>
      <c r="D176" s="65" t="s">
        <v>39</v>
      </c>
      <c r="E176" s="66">
        <v>1618.22</v>
      </c>
      <c r="F176" s="65">
        <v>12</v>
      </c>
      <c r="G176" s="65">
        <v>0.2</v>
      </c>
      <c r="H176" s="67">
        <v>45712</v>
      </c>
      <c r="I176" s="68">
        <v>582.55999999999995</v>
      </c>
    </row>
    <row r="177" spans="1:9" ht="15" thickBot="1" x14ac:dyDescent="0.35">
      <c r="A177" s="64" t="s">
        <v>73</v>
      </c>
      <c r="B177" s="65" t="s">
        <v>53</v>
      </c>
      <c r="C177" s="65" t="s">
        <v>34</v>
      </c>
      <c r="D177" s="65" t="s">
        <v>12</v>
      </c>
      <c r="E177" s="66">
        <v>1014.43</v>
      </c>
      <c r="F177" s="65">
        <v>2</v>
      </c>
      <c r="G177" s="65">
        <v>0.15</v>
      </c>
      <c r="H177" s="67">
        <v>45713</v>
      </c>
      <c r="I177" s="68">
        <v>344.91</v>
      </c>
    </row>
    <row r="178" spans="1:9" ht="15" thickBot="1" x14ac:dyDescent="0.35">
      <c r="A178" s="64" t="s">
        <v>75</v>
      </c>
      <c r="B178" s="65" t="s">
        <v>31</v>
      </c>
      <c r="C178" s="65" t="s">
        <v>34</v>
      </c>
      <c r="D178" s="65" t="s">
        <v>15</v>
      </c>
      <c r="E178" s="66">
        <v>826.97</v>
      </c>
      <c r="F178" s="65">
        <v>18</v>
      </c>
      <c r="G178" s="65">
        <v>0.2</v>
      </c>
      <c r="H178" s="67">
        <v>45715</v>
      </c>
      <c r="I178" s="68">
        <v>330.79</v>
      </c>
    </row>
    <row r="179" spans="1:9" ht="15" thickBot="1" x14ac:dyDescent="0.35">
      <c r="A179" s="64" t="s">
        <v>16</v>
      </c>
      <c r="B179" s="65" t="s">
        <v>31</v>
      </c>
      <c r="C179" s="65" t="s">
        <v>34</v>
      </c>
      <c r="D179" s="65" t="s">
        <v>15</v>
      </c>
      <c r="E179" s="66">
        <v>1022.23</v>
      </c>
      <c r="F179" s="65">
        <v>8</v>
      </c>
      <c r="G179" s="65">
        <v>0.1</v>
      </c>
      <c r="H179" s="67">
        <v>45717</v>
      </c>
      <c r="I179" s="68">
        <v>460</v>
      </c>
    </row>
    <row r="180" spans="1:9" ht="15" thickBot="1" x14ac:dyDescent="0.35">
      <c r="A180" s="64" t="s">
        <v>72</v>
      </c>
      <c r="B180" s="65" t="s">
        <v>29</v>
      </c>
      <c r="C180" s="65" t="s">
        <v>18</v>
      </c>
      <c r="D180" s="65" t="s">
        <v>12</v>
      </c>
      <c r="E180" s="66">
        <v>1099.69</v>
      </c>
      <c r="F180" s="65">
        <v>6</v>
      </c>
      <c r="G180" s="65">
        <v>0</v>
      </c>
      <c r="H180" s="67">
        <v>45718</v>
      </c>
      <c r="I180" s="68">
        <v>439.88</v>
      </c>
    </row>
    <row r="181" spans="1:9" ht="15" thickBot="1" x14ac:dyDescent="0.35">
      <c r="A181" s="64" t="s">
        <v>52</v>
      </c>
      <c r="B181" s="65" t="s">
        <v>64</v>
      </c>
      <c r="C181" s="65" t="s">
        <v>24</v>
      </c>
      <c r="D181" s="65" t="s">
        <v>12</v>
      </c>
      <c r="E181" s="66">
        <v>710.52</v>
      </c>
      <c r="F181" s="65">
        <v>8</v>
      </c>
      <c r="G181" s="65">
        <v>0.1</v>
      </c>
      <c r="H181" s="67">
        <v>45721</v>
      </c>
      <c r="I181" s="68">
        <v>255.79</v>
      </c>
    </row>
    <row r="182" spans="1:9" ht="15" thickBot="1" x14ac:dyDescent="0.35">
      <c r="A182" s="64" t="s">
        <v>52</v>
      </c>
      <c r="B182" s="65" t="s">
        <v>59</v>
      </c>
      <c r="C182" s="65" t="s">
        <v>24</v>
      </c>
      <c r="D182" s="65" t="s">
        <v>12</v>
      </c>
      <c r="E182" s="66">
        <v>499.18</v>
      </c>
      <c r="F182" s="65">
        <v>15</v>
      </c>
      <c r="G182" s="65">
        <v>0.2</v>
      </c>
      <c r="H182" s="67">
        <v>45724</v>
      </c>
      <c r="I182" s="68">
        <v>159.74</v>
      </c>
    </row>
    <row r="183" spans="1:9" ht="15" thickBot="1" x14ac:dyDescent="0.35">
      <c r="A183" s="64" t="s">
        <v>37</v>
      </c>
      <c r="B183" s="65" t="s">
        <v>38</v>
      </c>
      <c r="C183" s="65" t="s">
        <v>20</v>
      </c>
      <c r="D183" s="65" t="s">
        <v>12</v>
      </c>
      <c r="E183" s="66">
        <v>1064.19</v>
      </c>
      <c r="F183" s="65">
        <v>18</v>
      </c>
      <c r="G183" s="65">
        <v>0.05</v>
      </c>
      <c r="H183" s="67">
        <v>45725</v>
      </c>
      <c r="I183" s="68">
        <v>404.39</v>
      </c>
    </row>
    <row r="184" spans="1:9" ht="15" thickBot="1" x14ac:dyDescent="0.35">
      <c r="A184" s="64" t="s">
        <v>67</v>
      </c>
      <c r="B184" s="65" t="s">
        <v>38</v>
      </c>
      <c r="C184" s="65" t="s">
        <v>18</v>
      </c>
      <c r="D184" s="65" t="s">
        <v>39</v>
      </c>
      <c r="E184" s="66">
        <v>438.76</v>
      </c>
      <c r="F184" s="65">
        <v>18</v>
      </c>
      <c r="G184" s="65">
        <v>0.05</v>
      </c>
      <c r="H184" s="67">
        <v>45726</v>
      </c>
      <c r="I184" s="68">
        <v>187.57</v>
      </c>
    </row>
    <row r="185" spans="1:9" ht="15" thickBot="1" x14ac:dyDescent="0.35">
      <c r="A185" s="64" t="s">
        <v>41</v>
      </c>
      <c r="B185" s="65" t="s">
        <v>55</v>
      </c>
      <c r="C185" s="65" t="s">
        <v>11</v>
      </c>
      <c r="D185" s="65" t="s">
        <v>15</v>
      </c>
      <c r="E185" s="66">
        <v>864.98</v>
      </c>
      <c r="F185" s="65">
        <v>2</v>
      </c>
      <c r="G185" s="65">
        <v>0.05</v>
      </c>
      <c r="H185" s="67">
        <v>45727</v>
      </c>
      <c r="I185" s="68">
        <v>410.87</v>
      </c>
    </row>
    <row r="186" spans="1:9" ht="15" thickBot="1" x14ac:dyDescent="0.35">
      <c r="A186" s="64" t="s">
        <v>57</v>
      </c>
      <c r="B186" s="65" t="s">
        <v>55</v>
      </c>
      <c r="C186" s="65" t="s">
        <v>11</v>
      </c>
      <c r="D186" s="65" t="s">
        <v>27</v>
      </c>
      <c r="E186" s="66">
        <v>984.93</v>
      </c>
      <c r="F186" s="65">
        <v>14</v>
      </c>
      <c r="G186" s="65">
        <v>0.2</v>
      </c>
      <c r="H186" s="67">
        <v>45733</v>
      </c>
      <c r="I186" s="68">
        <v>275.77999999999997</v>
      </c>
    </row>
    <row r="187" spans="1:9" ht="15" thickBot="1" x14ac:dyDescent="0.35">
      <c r="A187" s="64" t="s">
        <v>25</v>
      </c>
      <c r="B187" s="65" t="s">
        <v>55</v>
      </c>
      <c r="C187" s="65" t="s">
        <v>11</v>
      </c>
      <c r="D187" s="65" t="s">
        <v>15</v>
      </c>
      <c r="E187" s="66">
        <v>1493.49</v>
      </c>
      <c r="F187" s="65">
        <v>18</v>
      </c>
      <c r="G187" s="65">
        <v>0</v>
      </c>
      <c r="H187" s="67">
        <v>45734</v>
      </c>
      <c r="I187" s="68">
        <v>746.74</v>
      </c>
    </row>
    <row r="188" spans="1:9" ht="15" thickBot="1" x14ac:dyDescent="0.35">
      <c r="A188" s="64" t="s">
        <v>32</v>
      </c>
      <c r="B188" s="65" t="s">
        <v>53</v>
      </c>
      <c r="C188" s="65" t="s">
        <v>20</v>
      </c>
      <c r="D188" s="65" t="s">
        <v>15</v>
      </c>
      <c r="E188" s="66">
        <v>689.43</v>
      </c>
      <c r="F188" s="65">
        <v>9</v>
      </c>
      <c r="G188" s="65">
        <v>0.1</v>
      </c>
      <c r="H188" s="67">
        <v>45736</v>
      </c>
      <c r="I188" s="68">
        <v>310.24</v>
      </c>
    </row>
    <row r="189" spans="1:9" ht="15" thickBot="1" x14ac:dyDescent="0.35">
      <c r="A189" s="64" t="s">
        <v>40</v>
      </c>
      <c r="B189" s="65" t="s">
        <v>59</v>
      </c>
      <c r="C189" s="65" t="s">
        <v>20</v>
      </c>
      <c r="D189" s="65" t="s">
        <v>15</v>
      </c>
      <c r="E189" s="66">
        <v>682.24</v>
      </c>
      <c r="F189" s="65">
        <v>1</v>
      </c>
      <c r="G189" s="65">
        <v>0</v>
      </c>
      <c r="H189" s="67">
        <v>45738</v>
      </c>
      <c r="I189" s="68">
        <v>341.12</v>
      </c>
    </row>
    <row r="190" spans="1:9" ht="15" thickBot="1" x14ac:dyDescent="0.35">
      <c r="A190" s="64" t="s">
        <v>41</v>
      </c>
      <c r="B190" s="65" t="s">
        <v>26</v>
      </c>
      <c r="C190" s="65" t="s">
        <v>24</v>
      </c>
      <c r="D190" s="65" t="s">
        <v>21</v>
      </c>
      <c r="E190" s="66">
        <v>458.54</v>
      </c>
      <c r="F190" s="65">
        <v>15</v>
      </c>
      <c r="G190" s="65">
        <v>0.2</v>
      </c>
      <c r="H190" s="67">
        <v>45741</v>
      </c>
      <c r="I190" s="68">
        <v>91.71</v>
      </c>
    </row>
    <row r="191" spans="1:9" ht="15" thickBot="1" x14ac:dyDescent="0.35">
      <c r="A191" s="64" t="s">
        <v>32</v>
      </c>
      <c r="B191" s="65" t="s">
        <v>26</v>
      </c>
      <c r="C191" s="65" t="s">
        <v>20</v>
      </c>
      <c r="D191" s="65" t="s">
        <v>27</v>
      </c>
      <c r="E191" s="66">
        <v>1184.25</v>
      </c>
      <c r="F191" s="65">
        <v>11</v>
      </c>
      <c r="G191" s="65">
        <v>0.2</v>
      </c>
      <c r="H191" s="67">
        <v>45742</v>
      </c>
      <c r="I191" s="68">
        <v>331.59</v>
      </c>
    </row>
    <row r="192" spans="1:9" ht="15" thickBot="1" x14ac:dyDescent="0.35">
      <c r="A192" s="64" t="s">
        <v>25</v>
      </c>
      <c r="B192" s="65" t="s">
        <v>10</v>
      </c>
      <c r="C192" s="65" t="s">
        <v>20</v>
      </c>
      <c r="D192" s="65" t="s">
        <v>15</v>
      </c>
      <c r="E192" s="66">
        <v>762.14</v>
      </c>
      <c r="F192" s="65">
        <v>9</v>
      </c>
      <c r="G192" s="65">
        <v>0</v>
      </c>
      <c r="H192" s="67">
        <v>45743</v>
      </c>
      <c r="I192" s="68">
        <v>381.07</v>
      </c>
    </row>
    <row r="193" spans="1:9" ht="15" thickBot="1" x14ac:dyDescent="0.35">
      <c r="A193" s="64" t="s">
        <v>22</v>
      </c>
      <c r="B193" s="65" t="s">
        <v>53</v>
      </c>
      <c r="C193" s="65" t="s">
        <v>24</v>
      </c>
      <c r="D193" s="65" t="s">
        <v>12</v>
      </c>
      <c r="E193" s="66">
        <v>750.71</v>
      </c>
      <c r="F193" s="65">
        <v>10</v>
      </c>
      <c r="G193" s="65">
        <v>0.15</v>
      </c>
      <c r="H193" s="67">
        <v>45743</v>
      </c>
      <c r="I193" s="68">
        <v>255.24</v>
      </c>
    </row>
    <row r="194" spans="1:9" ht="15" thickBot="1" x14ac:dyDescent="0.35">
      <c r="A194" s="64" t="s">
        <v>75</v>
      </c>
      <c r="B194" s="65" t="s">
        <v>71</v>
      </c>
      <c r="C194" s="65" t="s">
        <v>34</v>
      </c>
      <c r="D194" s="65" t="s">
        <v>15</v>
      </c>
      <c r="E194" s="66">
        <v>1456.94</v>
      </c>
      <c r="F194" s="65">
        <v>14</v>
      </c>
      <c r="G194" s="65">
        <v>0.05</v>
      </c>
      <c r="H194" s="67">
        <v>45745</v>
      </c>
      <c r="I194" s="68">
        <v>692.05</v>
      </c>
    </row>
    <row r="195" spans="1:9" ht="15" thickBot="1" x14ac:dyDescent="0.35">
      <c r="A195" s="64" t="s">
        <v>44</v>
      </c>
      <c r="B195" s="65" t="s">
        <v>61</v>
      </c>
      <c r="C195" s="65" t="s">
        <v>18</v>
      </c>
      <c r="D195" s="65" t="s">
        <v>27</v>
      </c>
      <c r="E195" s="66">
        <v>1093.3800000000001</v>
      </c>
      <c r="F195" s="65">
        <v>17</v>
      </c>
      <c r="G195" s="65">
        <v>0.1</v>
      </c>
      <c r="H195" s="67">
        <v>45745</v>
      </c>
      <c r="I195" s="68">
        <v>344.41</v>
      </c>
    </row>
    <row r="196" spans="1:9" ht="15" thickBot="1" x14ac:dyDescent="0.35">
      <c r="A196" s="64" t="s">
        <v>37</v>
      </c>
      <c r="B196" s="65" t="s">
        <v>43</v>
      </c>
      <c r="C196" s="65" t="s">
        <v>11</v>
      </c>
      <c r="D196" s="65" t="s">
        <v>15</v>
      </c>
      <c r="E196" s="66">
        <v>934.27</v>
      </c>
      <c r="F196" s="65">
        <v>8</v>
      </c>
      <c r="G196" s="65">
        <v>0.15</v>
      </c>
      <c r="H196" s="67">
        <v>45746</v>
      </c>
      <c r="I196" s="68">
        <v>397.06</v>
      </c>
    </row>
    <row r="197" spans="1:9" ht="15" thickBot="1" x14ac:dyDescent="0.35">
      <c r="A197" s="64" t="s">
        <v>70</v>
      </c>
      <c r="B197" s="65" t="s">
        <v>36</v>
      </c>
      <c r="C197" s="65" t="s">
        <v>34</v>
      </c>
      <c r="D197" s="65" t="s">
        <v>15</v>
      </c>
      <c r="E197" s="66">
        <v>1465.35</v>
      </c>
      <c r="F197" s="65">
        <v>8</v>
      </c>
      <c r="G197" s="65">
        <v>0.2</v>
      </c>
      <c r="H197" s="67">
        <v>45746</v>
      </c>
      <c r="I197" s="68">
        <v>586.14</v>
      </c>
    </row>
    <row r="198" spans="1:9" ht="15" thickBot="1" x14ac:dyDescent="0.35">
      <c r="A198" s="64" t="s">
        <v>52</v>
      </c>
      <c r="B198" s="65" t="s">
        <v>14</v>
      </c>
      <c r="C198" s="65" t="s">
        <v>20</v>
      </c>
      <c r="D198" s="65" t="s">
        <v>39</v>
      </c>
      <c r="E198" s="66">
        <v>740.8</v>
      </c>
      <c r="F198" s="65">
        <v>3</v>
      </c>
      <c r="G198" s="65">
        <v>0</v>
      </c>
      <c r="H198" s="67">
        <v>45749</v>
      </c>
      <c r="I198" s="68">
        <v>333.36</v>
      </c>
    </row>
    <row r="199" spans="1:9" ht="15" thickBot="1" x14ac:dyDescent="0.35">
      <c r="A199" s="64" t="s">
        <v>58</v>
      </c>
      <c r="B199" s="65" t="s">
        <v>43</v>
      </c>
      <c r="C199" s="65" t="s">
        <v>11</v>
      </c>
      <c r="D199" s="65" t="s">
        <v>39</v>
      </c>
      <c r="E199" s="66">
        <v>545.44000000000005</v>
      </c>
      <c r="F199" s="65">
        <v>17</v>
      </c>
      <c r="G199" s="65">
        <v>0</v>
      </c>
      <c r="H199" s="67">
        <v>45752</v>
      </c>
      <c r="I199" s="68">
        <v>245.45</v>
      </c>
    </row>
    <row r="200" spans="1:9" ht="15" thickBot="1" x14ac:dyDescent="0.35">
      <c r="A200" s="64" t="s">
        <v>35</v>
      </c>
      <c r="B200" s="65" t="s">
        <v>36</v>
      </c>
      <c r="C200" s="65" t="s">
        <v>18</v>
      </c>
      <c r="D200" s="65" t="s">
        <v>12</v>
      </c>
      <c r="E200" s="66">
        <v>997.61</v>
      </c>
      <c r="F200" s="65">
        <v>8</v>
      </c>
      <c r="G200" s="65">
        <v>0.05</v>
      </c>
      <c r="H200" s="67">
        <v>45752</v>
      </c>
      <c r="I200" s="68">
        <v>379.09</v>
      </c>
    </row>
    <row r="201" spans="1:9" x14ac:dyDescent="0.3">
      <c r="A201" s="69" t="s">
        <v>60</v>
      </c>
      <c r="B201" s="70" t="s">
        <v>36</v>
      </c>
      <c r="C201" s="70" t="s">
        <v>20</v>
      </c>
      <c r="D201" s="70" t="s">
        <v>15</v>
      </c>
      <c r="E201" s="71">
        <v>928.32</v>
      </c>
      <c r="F201" s="70">
        <v>2</v>
      </c>
      <c r="G201" s="70">
        <v>0.05</v>
      </c>
      <c r="H201" s="72">
        <v>45754</v>
      </c>
      <c r="I201" s="73">
        <v>440.95</v>
      </c>
    </row>
  </sheetData>
  <conditionalFormatting sqref="A1:A1048576">
    <cfRule type="top10" priority="4" rank="10"/>
  </conditionalFormatting>
  <conditionalFormatting sqref="B1:B1048576">
    <cfRule type="top10" dxfId="6" priority="1" rank="10"/>
  </conditionalFormatting>
  <conditionalFormatting sqref="B2:B201">
    <cfRule type="top10" dxfId="5" priority="2" rank="10"/>
    <cfRule type="top10" dxfId="4" priority="3" rank="10"/>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7C19-F9CF-4B92-B784-84BA9D7402A7}">
  <dimension ref="A1:R32"/>
  <sheetViews>
    <sheetView topLeftCell="C1" zoomScale="115" zoomScaleNormal="115" workbookViewId="0">
      <selection activeCell="O20" sqref="O20"/>
    </sheetView>
  </sheetViews>
  <sheetFormatPr defaultRowHeight="14.4" x14ac:dyDescent="0.3"/>
  <cols>
    <col min="1" max="4" width="10.88671875" customWidth="1"/>
    <col min="5" max="5" width="13.21875" style="1" bestFit="1" customWidth="1"/>
    <col min="6" max="6" width="16.77734375" style="1" bestFit="1" customWidth="1"/>
    <col min="7" max="7" width="13.44140625" style="15" customWidth="1"/>
    <col min="8" max="8" width="15" customWidth="1"/>
    <col min="9" max="10" width="12.21875" bestFit="1" customWidth="1"/>
    <col min="11" max="11" width="13.77734375" bestFit="1" customWidth="1"/>
    <col min="12" max="12" width="24.6640625" bestFit="1" customWidth="1"/>
    <col min="13" max="13" width="19.44140625" bestFit="1" customWidth="1"/>
    <col min="14" max="16" width="10.88671875" customWidth="1"/>
    <col min="17" max="18" width="8.88671875" customWidth="1"/>
  </cols>
  <sheetData>
    <row r="1" spans="1:18" ht="21" x14ac:dyDescent="0.3">
      <c r="A1" s="89"/>
      <c r="B1" s="89"/>
      <c r="C1" s="89"/>
      <c r="D1" s="89"/>
      <c r="E1" s="112" t="s">
        <v>153</v>
      </c>
      <c r="F1" s="112"/>
      <c r="G1" s="112"/>
      <c r="H1" s="112"/>
      <c r="I1" s="112"/>
      <c r="J1" s="112"/>
      <c r="K1" s="112"/>
      <c r="L1" s="112"/>
      <c r="M1" s="112"/>
      <c r="N1" s="18"/>
      <c r="O1" s="18"/>
      <c r="P1" s="18"/>
      <c r="Q1" s="18"/>
      <c r="R1" s="18"/>
    </row>
    <row r="2" spans="1:18" x14ac:dyDescent="0.3">
      <c r="E2" s="8" t="s">
        <v>76</v>
      </c>
      <c r="F2" s="8" t="s">
        <v>77</v>
      </c>
      <c r="G2" s="8" t="s">
        <v>78</v>
      </c>
      <c r="H2" s="8" t="s">
        <v>79</v>
      </c>
      <c r="I2" s="10" t="s">
        <v>80</v>
      </c>
      <c r="J2" s="10" t="s">
        <v>81</v>
      </c>
      <c r="K2" s="13" t="s">
        <v>82</v>
      </c>
      <c r="L2" t="s">
        <v>152</v>
      </c>
      <c r="M2" s="90" t="s">
        <v>160</v>
      </c>
      <c r="N2" s="8"/>
      <c r="O2" s="8"/>
      <c r="P2" s="8"/>
      <c r="Q2" s="8"/>
      <c r="R2" s="8"/>
    </row>
    <row r="3" spans="1:18" x14ac:dyDescent="0.3">
      <c r="E3" s="9" t="s">
        <v>28</v>
      </c>
      <c r="F3" s="9" t="s">
        <v>71</v>
      </c>
      <c r="G3" s="9">
        <f>COUNTIF(data!$B$2:$B$201,F3)</f>
        <v>6</v>
      </c>
      <c r="H3" s="9">
        <f>SUMIF(data!$B$2:$B$201, F3, data!$F$2:$F$201)</f>
        <v>45</v>
      </c>
      <c r="I3" s="11">
        <f>SUMIF(data!$B$2:$B$201, F3, data!$E$2:$E$201)</f>
        <v>5465.71</v>
      </c>
      <c r="J3" s="11">
        <f>SUMIF(data!$B$2:$B$201, F3, data!$I$2:$I$201)</f>
        <v>1937.8500000000001</v>
      </c>
      <c r="K3" s="14">
        <f>ROUND(AVERAGEIF(data!$B$2:$B$201, F3, data!$G$2:$G$201)*100, 0)</f>
        <v>15</v>
      </c>
      <c r="L3" s="28" t="str">
        <f t="shared" ref="L3:L29" si="0">IF(RANK(I3, $I$3:$I$29,0)&lt;=10, "YES", "NO")</f>
        <v>NO</v>
      </c>
      <c r="M3" s="91">
        <f t="shared" ref="M3:M29" ca="1" si="1">NOW()</f>
        <v>46280.596419791669</v>
      </c>
      <c r="N3" s="8"/>
      <c r="O3" s="8"/>
      <c r="P3" s="8"/>
      <c r="Q3" s="8"/>
      <c r="R3" s="8"/>
    </row>
    <row r="4" spans="1:18" x14ac:dyDescent="0.3">
      <c r="E4" s="50" t="s">
        <v>65</v>
      </c>
      <c r="F4" s="50" t="s">
        <v>55</v>
      </c>
      <c r="G4" s="50">
        <f>COUNTIF(data!$B$2:$B$201,F4)</f>
        <v>13</v>
      </c>
      <c r="H4" s="50">
        <f>SUMIF(data!$B$2:$B$201, F4, data!$F$2:$F$201)</f>
        <v>119</v>
      </c>
      <c r="I4" s="51">
        <f>SUMIF(data!$B$2:$B$201, F4, data!$E$2:$E$201)</f>
        <v>11915.829999999998</v>
      </c>
      <c r="J4" s="51">
        <f>SUMIF(data!$B$2:$B$201, F4, data!$I$2:$I$201)</f>
        <v>4061.91</v>
      </c>
      <c r="K4" s="52">
        <f>ROUND(AVERAGEIF(data!$B$2:$B$201, F4, data!$G$2:$G$201)*100, 0)</f>
        <v>5</v>
      </c>
      <c r="L4" s="49" t="str">
        <f t="shared" si="0"/>
        <v>YES</v>
      </c>
      <c r="M4" s="94">
        <f t="shared" ca="1" si="1"/>
        <v>46280.596419791669</v>
      </c>
      <c r="N4" s="8"/>
      <c r="O4" s="8"/>
      <c r="P4" s="8"/>
      <c r="Q4" s="8"/>
      <c r="R4" s="8"/>
    </row>
    <row r="5" spans="1:18" x14ac:dyDescent="0.3">
      <c r="E5" s="9" t="s">
        <v>67</v>
      </c>
      <c r="F5" s="9" t="s">
        <v>56</v>
      </c>
      <c r="G5" s="9">
        <f>COUNTIF(data!$B$2:$B$201,F5)</f>
        <v>4</v>
      </c>
      <c r="H5" s="9">
        <f>SUMIF(data!$B$2:$B$201, F5, data!$F$2:$F$201)</f>
        <v>50</v>
      </c>
      <c r="I5" s="11">
        <f>SUMIF(data!$B$2:$B$201, F5, data!$E$2:$E$201)</f>
        <v>3819.1400000000003</v>
      </c>
      <c r="J5" s="11">
        <f>SUMIF(data!$B$2:$B$201, F5, data!$I$2:$I$201)</f>
        <v>1273.1899999999998</v>
      </c>
      <c r="K5" s="14">
        <f>ROUND(AVERAGEIF(data!$B$2:$B$201, F5, data!$G$2:$G$201)*100, 0)</f>
        <v>14</v>
      </c>
      <c r="L5" s="28" t="str">
        <f t="shared" si="0"/>
        <v>NO</v>
      </c>
      <c r="M5" s="91">
        <f t="shared" ca="1" si="1"/>
        <v>46280.596419791669</v>
      </c>
      <c r="N5" s="8"/>
      <c r="O5" s="8"/>
      <c r="P5" s="8"/>
      <c r="Q5" s="8"/>
      <c r="R5" s="8"/>
    </row>
    <row r="6" spans="1:18" x14ac:dyDescent="0.3">
      <c r="E6" s="9" t="s">
        <v>72</v>
      </c>
      <c r="F6" s="9" t="s">
        <v>42</v>
      </c>
      <c r="G6" s="9">
        <f>COUNTIF(data!$B$2:$B$201,F6)</f>
        <v>2</v>
      </c>
      <c r="H6" s="9">
        <f>SUMIF(data!$B$2:$B$201, F6, data!$F$2:$F$201)</f>
        <v>30</v>
      </c>
      <c r="I6" s="12">
        <f>SUMIF(data!$B$2:$B$201, F6, data!$E$2:$E$201)</f>
        <v>1672.88</v>
      </c>
      <c r="J6" s="11">
        <f>SUMIF(data!$B$2:$B$201, F6, data!$I$2:$I$201)</f>
        <v>569.64</v>
      </c>
      <c r="K6" s="14">
        <f>ROUND(AVERAGEIF(data!$B$2:$B$201, F6, data!$G$2:$G$201)*100, 0)</f>
        <v>13</v>
      </c>
      <c r="L6" s="28" t="str">
        <f t="shared" si="0"/>
        <v>NO</v>
      </c>
      <c r="M6" s="91">
        <f t="shared" ca="1" si="1"/>
        <v>46280.596419791669</v>
      </c>
      <c r="N6" s="8"/>
      <c r="O6" s="8"/>
      <c r="P6" s="8"/>
      <c r="Q6" s="8"/>
      <c r="R6" s="8"/>
    </row>
    <row r="7" spans="1:18" x14ac:dyDescent="0.3">
      <c r="E7" s="9" t="s">
        <v>19</v>
      </c>
      <c r="F7" s="9" t="s">
        <v>36</v>
      </c>
      <c r="G7" s="9">
        <f>COUNTIF(data!$B$2:$B$201,F7)</f>
        <v>7</v>
      </c>
      <c r="H7" s="9">
        <f>SUMIF(data!$B$2:$B$201, F7, data!$F$2:$F$201)</f>
        <v>47</v>
      </c>
      <c r="I7" s="11">
        <f>SUMIF(data!$B$2:$B$201, F7, data!$E$2:$E$201)</f>
        <v>7020.3799999999992</v>
      </c>
      <c r="J7" s="11">
        <f>SUMIF(data!$B$2:$B$201, F7, data!$I$2:$I$201)</f>
        <v>2919.45</v>
      </c>
      <c r="K7" s="14">
        <f>ROUND(AVERAGEIF(data!$B$2:$B$201, F7, data!$G$2:$G$201)*100, 0)</f>
        <v>9</v>
      </c>
      <c r="L7" s="28" t="str">
        <f t="shared" si="0"/>
        <v>NO</v>
      </c>
      <c r="M7" s="91">
        <f t="shared" ca="1" si="1"/>
        <v>46280.596419791669</v>
      </c>
      <c r="N7" s="8"/>
      <c r="O7" s="8"/>
      <c r="P7" s="8"/>
      <c r="Q7" s="8"/>
      <c r="R7" s="8"/>
    </row>
    <row r="8" spans="1:18" x14ac:dyDescent="0.3">
      <c r="E8" s="50" t="s">
        <v>46</v>
      </c>
      <c r="F8" s="50" t="s">
        <v>38</v>
      </c>
      <c r="G8" s="50">
        <f>COUNTIF(data!$B$2:$B$201,F8)</f>
        <v>12</v>
      </c>
      <c r="H8" s="50">
        <f>SUMIF(data!$B$2:$B$201, F8, data!$F$2:$F$201)</f>
        <v>122</v>
      </c>
      <c r="I8" s="51">
        <f>SUMIF(data!$B$2:$B$201, F8, data!$E$2:$E$201)</f>
        <v>11398.32</v>
      </c>
      <c r="J8" s="51">
        <f>SUMIF(data!$B$2:$B$201, F8, data!$I$2:$I$201)</f>
        <v>3846.93</v>
      </c>
      <c r="K8" s="52">
        <f>ROUND(AVERAGEIF(data!$B$2:$B$201, F8, data!$G$2:$G$201)*100, 0)</f>
        <v>8</v>
      </c>
      <c r="L8" s="49" t="str">
        <f t="shared" si="0"/>
        <v>YES</v>
      </c>
      <c r="M8" s="94">
        <f t="shared" ca="1" si="1"/>
        <v>46280.596419791669</v>
      </c>
      <c r="N8" s="8"/>
      <c r="O8" s="8"/>
      <c r="P8" s="8"/>
      <c r="Q8" s="8"/>
      <c r="R8" s="8"/>
    </row>
    <row r="9" spans="1:18" x14ac:dyDescent="0.3">
      <c r="E9" s="9" t="s">
        <v>25</v>
      </c>
      <c r="F9" s="9" t="s">
        <v>66</v>
      </c>
      <c r="G9" s="9">
        <f>COUNTIF(data!$B$2:$B$201,F9)</f>
        <v>5</v>
      </c>
      <c r="H9" s="9">
        <f>SUMIF(data!$B$2:$B$201, F9, data!$F$2:$F$201)</f>
        <v>54</v>
      </c>
      <c r="I9" s="11">
        <f>SUMIF(data!$B$2:$B$201, F9, data!$E$2:$E$201)</f>
        <v>5014.96</v>
      </c>
      <c r="J9" s="11">
        <f>SUMIF(data!$B$2:$B$201, F9, data!$I$2:$I$201)</f>
        <v>1909.5700000000002</v>
      </c>
      <c r="K9" s="14">
        <f>ROUND(AVERAGEIF(data!$B$2:$B$201, F9, data!$G$2:$G$201)*100, 0)</f>
        <v>6</v>
      </c>
      <c r="L9" s="28" t="str">
        <f t="shared" si="0"/>
        <v>NO</v>
      </c>
      <c r="M9" s="91">
        <f t="shared" ca="1" si="1"/>
        <v>46280.596419791669</v>
      </c>
      <c r="N9" s="8"/>
      <c r="O9" s="8"/>
      <c r="P9" s="8"/>
      <c r="Q9" s="8"/>
      <c r="R9" s="8"/>
    </row>
    <row r="10" spans="1:18" x14ac:dyDescent="0.3">
      <c r="E10" s="50" t="s">
        <v>44</v>
      </c>
      <c r="F10" s="50" t="s">
        <v>61</v>
      </c>
      <c r="G10" s="50">
        <f>COUNTIF(data!$B$2:$B$201,F10)</f>
        <v>8</v>
      </c>
      <c r="H10" s="50">
        <f>SUMIF(data!$B$2:$B$201, F10, data!$F$2:$F$201)</f>
        <v>94</v>
      </c>
      <c r="I10" s="51">
        <f>SUMIF(data!$B$2:$B$201, F10, data!$E$2:$E$201)</f>
        <v>8543.9699999999993</v>
      </c>
      <c r="J10" s="51">
        <f>SUMIF(data!$B$2:$B$201, F10, data!$I$2:$I$201)</f>
        <v>2718.8399999999997</v>
      </c>
      <c r="K10" s="52">
        <f>ROUND(AVERAGEIF(data!$B$2:$B$201, F10, data!$G$2:$G$201)*100, 0)</f>
        <v>9</v>
      </c>
      <c r="L10" s="49" t="str">
        <f t="shared" si="0"/>
        <v>YES</v>
      </c>
      <c r="M10" s="94">
        <f t="shared" ca="1" si="1"/>
        <v>46280.596419791669</v>
      </c>
      <c r="N10" s="17"/>
      <c r="O10" s="17"/>
      <c r="P10" s="8"/>
      <c r="Q10" s="8"/>
      <c r="R10" s="8"/>
    </row>
    <row r="11" spans="1:18" x14ac:dyDescent="0.3">
      <c r="E11" s="9" t="s">
        <v>32</v>
      </c>
      <c r="F11" s="9" t="s">
        <v>10</v>
      </c>
      <c r="G11" s="9">
        <f>COUNTIF(data!$B$2:$B$201,F11)</f>
        <v>6</v>
      </c>
      <c r="H11" s="9">
        <f>SUMIF(data!$B$2:$B$201, F11, data!$F$2:$F$201)</f>
        <v>54</v>
      </c>
      <c r="I11" s="11">
        <f>SUMIF(data!$B$2:$B$201, F11, data!$E$2:$E$201)</f>
        <v>6255.7</v>
      </c>
      <c r="J11" s="11">
        <f>SUMIF(data!$B$2:$B$201, F11, data!$I$2:$I$201)</f>
        <v>2122.8200000000002</v>
      </c>
      <c r="K11" s="14">
        <f>ROUND(AVERAGEIF(data!$B$2:$B$201, F11, data!$G$2:$G$201)*100, 0)</f>
        <v>9</v>
      </c>
      <c r="L11" s="28" t="str">
        <f t="shared" si="0"/>
        <v>NO</v>
      </c>
      <c r="M11" s="91">
        <f t="shared" ca="1" si="1"/>
        <v>46280.596419791669</v>
      </c>
      <c r="N11" s="16"/>
      <c r="O11" s="16"/>
      <c r="P11" s="8"/>
      <c r="Q11" s="8"/>
      <c r="R11" s="8"/>
    </row>
    <row r="12" spans="1:18" x14ac:dyDescent="0.3">
      <c r="E12" s="9" t="s">
        <v>35</v>
      </c>
      <c r="F12" s="9" t="s">
        <v>17</v>
      </c>
      <c r="G12" s="9">
        <f>COUNTIF(data!$B$2:$B$201,F12)</f>
        <v>6</v>
      </c>
      <c r="H12" s="9">
        <f>SUMIF(data!$B$2:$B$201, F12, data!$F$2:$F$201)</f>
        <v>66</v>
      </c>
      <c r="I12" s="11">
        <f>SUMIF(data!$B$2:$B$201, F12, data!$E$2:$E$201)</f>
        <v>5615.2800000000007</v>
      </c>
      <c r="J12" s="11">
        <f>SUMIF(data!$B$2:$B$201, F12, data!$I$2:$I$201)</f>
        <v>2203.6800000000003</v>
      </c>
      <c r="K12" s="14">
        <f>ROUND(AVERAGEIF(data!$B$2:$B$201, F12, data!$G$2:$G$201)*100, 0)</f>
        <v>8</v>
      </c>
      <c r="L12" s="28" t="str">
        <f t="shared" si="0"/>
        <v>NO</v>
      </c>
      <c r="M12" s="91">
        <f t="shared" ca="1" si="1"/>
        <v>46280.596419791669</v>
      </c>
      <c r="N12" s="16"/>
      <c r="O12" s="16"/>
      <c r="P12" s="8"/>
      <c r="Q12" s="8"/>
      <c r="R12" s="8"/>
    </row>
    <row r="13" spans="1:18" x14ac:dyDescent="0.3">
      <c r="E13" s="50" t="s">
        <v>63</v>
      </c>
      <c r="F13" s="50" t="s">
        <v>23</v>
      </c>
      <c r="G13" s="50">
        <f>COUNTIF(data!$B$2:$B$201,F13)</f>
        <v>20</v>
      </c>
      <c r="H13" s="50">
        <f>SUMIF(data!$B$2:$B$201, F13, data!$F$2:$F$201)</f>
        <v>236</v>
      </c>
      <c r="I13" s="51">
        <f>SUMIF(data!$B$2:$B$201, F13, data!$E$2:$E$201)</f>
        <v>20774.739999999998</v>
      </c>
      <c r="J13" s="51">
        <f>SUMIF(data!$B$2:$B$201, F13, data!$I$2:$I$201)</f>
        <v>7077.9199999999992</v>
      </c>
      <c r="K13" s="52">
        <f>ROUND(AVERAGEIF(data!$B$2:$B$201, F13, data!$G$2:$G$201)*100, 0)</f>
        <v>13</v>
      </c>
      <c r="L13" s="49" t="str">
        <f t="shared" si="0"/>
        <v>YES</v>
      </c>
      <c r="M13" s="94">
        <f t="shared" ca="1" si="1"/>
        <v>46280.596419791669</v>
      </c>
      <c r="N13" s="16"/>
      <c r="O13" s="16"/>
      <c r="P13" s="8"/>
      <c r="Q13" s="8"/>
      <c r="R13" s="8"/>
    </row>
    <row r="14" spans="1:18" x14ac:dyDescent="0.3">
      <c r="E14" s="9" t="s">
        <v>13</v>
      </c>
      <c r="F14" s="9" t="s">
        <v>51</v>
      </c>
      <c r="G14" s="9">
        <f>COUNTIF(data!$B$2:$B$201,F14)</f>
        <v>2</v>
      </c>
      <c r="H14" s="9">
        <f>SUMIF(data!$B$2:$B$201, F14, data!$F$2:$F$201)</f>
        <v>23</v>
      </c>
      <c r="I14" s="11">
        <f>SUMIF(data!$B$2:$B$201, F14, data!$E$2:$E$201)</f>
        <v>1450.99</v>
      </c>
      <c r="J14" s="11">
        <f>SUMIF(data!$B$2:$B$201, F14, data!$I$2:$I$201)</f>
        <v>410.91999999999996</v>
      </c>
      <c r="K14" s="14">
        <f>ROUND(AVERAGEIF(data!$B$2:$B$201, F14, data!$G$2:$G$201)*100, 0)</f>
        <v>5</v>
      </c>
      <c r="L14" s="28" t="str">
        <f t="shared" si="0"/>
        <v>NO</v>
      </c>
      <c r="M14" s="91">
        <f t="shared" ca="1" si="1"/>
        <v>46280.596419791669</v>
      </c>
      <c r="N14" s="8"/>
      <c r="O14" s="8"/>
      <c r="P14" s="8"/>
      <c r="Q14" s="8"/>
      <c r="R14" s="8"/>
    </row>
    <row r="15" spans="1:18" x14ac:dyDescent="0.3">
      <c r="E15" s="9" t="s">
        <v>73</v>
      </c>
      <c r="F15" s="9" t="s">
        <v>50</v>
      </c>
      <c r="G15" s="9">
        <f>COUNTIF(data!$B$2:$B$201,F15)</f>
        <v>5</v>
      </c>
      <c r="H15" s="9">
        <f>SUMIF(data!$B$2:$B$201, F15, data!$F$2:$F$201)</f>
        <v>61</v>
      </c>
      <c r="I15" s="11">
        <f>SUMIF(data!$B$2:$B$201, F15, data!$E$2:$E$201)</f>
        <v>5801.29</v>
      </c>
      <c r="J15" s="11">
        <f>SUMIF(data!$B$2:$B$201, F15, data!$I$2:$I$201)</f>
        <v>1885.71</v>
      </c>
      <c r="K15" s="14">
        <f>ROUND(AVERAGEIF(data!$B$2:$B$201, F15, data!$G$2:$G$201)*100, 0)</f>
        <v>3</v>
      </c>
      <c r="L15" s="28" t="str">
        <f t="shared" si="0"/>
        <v>NO</v>
      </c>
      <c r="M15" s="91">
        <f t="shared" ca="1" si="1"/>
        <v>46280.596419791669</v>
      </c>
      <c r="N15" s="17"/>
      <c r="O15" s="17"/>
      <c r="P15" s="17"/>
      <c r="Q15" s="17"/>
      <c r="R15" s="17"/>
    </row>
    <row r="16" spans="1:18" x14ac:dyDescent="0.3">
      <c r="E16" s="9" t="s">
        <v>37</v>
      </c>
      <c r="F16" s="9" t="s">
        <v>62</v>
      </c>
      <c r="G16" s="9">
        <f>COUNTIF(data!$B$2:$B$201,F16)</f>
        <v>1</v>
      </c>
      <c r="H16" s="9">
        <f>SUMIF(data!$B$2:$B$201, F16, data!$F$2:$F$201)</f>
        <v>2</v>
      </c>
      <c r="I16" s="11">
        <f>SUMIF(data!$B$2:$B$201, F16, data!$E$2:$E$201)</f>
        <v>856.7</v>
      </c>
      <c r="J16" s="11">
        <f>SUMIF(data!$B$2:$B$201, F16, data!$I$2:$I$201)</f>
        <v>214.18</v>
      </c>
      <c r="K16" s="14">
        <f>ROUND(AVERAGEIF(data!$B$2:$B$201, F16, data!$G$2:$G$201)*100, 0)</f>
        <v>0</v>
      </c>
      <c r="L16" s="28" t="str">
        <f t="shared" si="0"/>
        <v>NO</v>
      </c>
      <c r="M16" s="91">
        <f t="shared" ca="1" si="1"/>
        <v>46280.596419791669</v>
      </c>
      <c r="N16" s="16"/>
      <c r="O16" s="16"/>
      <c r="P16" s="16"/>
      <c r="Q16" s="16"/>
      <c r="R16" s="16"/>
    </row>
    <row r="17" spans="1:18" x14ac:dyDescent="0.3">
      <c r="E17" s="9" t="s">
        <v>58</v>
      </c>
      <c r="F17" s="9" t="s">
        <v>33</v>
      </c>
      <c r="G17" s="9">
        <f>COUNTIF(data!$B$2:$B$201,F17)</f>
        <v>4</v>
      </c>
      <c r="H17" s="9">
        <f>SUMIF(data!$B$2:$B$201, F17, data!$F$2:$F$201)</f>
        <v>41</v>
      </c>
      <c r="I17" s="11">
        <f>SUMIF(data!$B$2:$B$201, F17, data!$E$2:$E$201)</f>
        <v>3968.59</v>
      </c>
      <c r="J17" s="11">
        <f>SUMIF(data!$B$2:$B$201, F17, data!$I$2:$I$201)</f>
        <v>1386.78</v>
      </c>
      <c r="K17" s="14">
        <f>ROUND(AVERAGEIF(data!$B$2:$B$201, F17, data!$G$2:$G$201)*100, 0)</f>
        <v>6</v>
      </c>
      <c r="L17" s="28" t="str">
        <f t="shared" si="0"/>
        <v>NO</v>
      </c>
      <c r="M17" s="91">
        <f t="shared" ca="1" si="1"/>
        <v>46280.596419791669</v>
      </c>
      <c r="N17" s="16"/>
      <c r="O17" s="16"/>
      <c r="P17" s="16"/>
      <c r="Q17" s="16"/>
      <c r="R17" s="16"/>
    </row>
    <row r="18" spans="1:18" x14ac:dyDescent="0.3">
      <c r="E18" s="9" t="s">
        <v>60</v>
      </c>
      <c r="F18" s="9" t="s">
        <v>69</v>
      </c>
      <c r="G18" s="9">
        <f>COUNTIF(data!$B$2:$B$201,F18)</f>
        <v>3</v>
      </c>
      <c r="H18" s="9">
        <f>SUMIF(data!$B$2:$B$201, F18, data!$F$2:$F$201)</f>
        <v>31</v>
      </c>
      <c r="I18" s="11">
        <f>SUMIF(data!$B$2:$B$201, F18, data!$E$2:$E$201)</f>
        <v>2304.9</v>
      </c>
      <c r="J18" s="11">
        <f>SUMIF(data!$B$2:$B$201, F18, data!$I$2:$I$201)</f>
        <v>1020.72</v>
      </c>
      <c r="K18" s="14">
        <f>ROUND(AVERAGEIF(data!$B$2:$B$201, F18, data!$G$2:$G$201)*100, 0)</f>
        <v>8</v>
      </c>
      <c r="L18" s="28" t="str">
        <f t="shared" si="0"/>
        <v>NO</v>
      </c>
      <c r="M18" s="92">
        <f t="shared" ca="1" si="1"/>
        <v>46280.596419791669</v>
      </c>
      <c r="N18" s="8"/>
      <c r="O18" s="8"/>
      <c r="P18" s="8"/>
      <c r="Q18" s="8"/>
      <c r="R18" s="8"/>
    </row>
    <row r="19" spans="1:18" x14ac:dyDescent="0.3">
      <c r="E19" s="9" t="s">
        <v>16</v>
      </c>
      <c r="F19" s="9" t="s">
        <v>53</v>
      </c>
      <c r="G19" s="9">
        <f>COUNTIF(data!$B$2:$B$201,F19)</f>
        <v>7</v>
      </c>
      <c r="H19" s="9">
        <f>SUMIF(data!$B$2:$B$201, F19, data!$F$2:$F$201)</f>
        <v>69</v>
      </c>
      <c r="I19" s="11">
        <f>SUMIF(data!$B$2:$B$201, F19, data!$E$2:$E$201)</f>
        <v>7522.77</v>
      </c>
      <c r="J19" s="11">
        <f>SUMIF(data!$B$2:$B$201, F19, data!$I$2:$I$201)</f>
        <v>2912.54</v>
      </c>
      <c r="K19" s="14">
        <f>ROUND(AVERAGEIF(data!$B$2:$B$201, F19, data!$G$2:$G$201)*100, 0)</f>
        <v>11</v>
      </c>
      <c r="L19" s="28" t="str">
        <f t="shared" si="0"/>
        <v>NO</v>
      </c>
      <c r="M19" s="93">
        <f t="shared" ca="1" si="1"/>
        <v>46280.596419791669</v>
      </c>
    </row>
    <row r="20" spans="1:18" x14ac:dyDescent="0.3">
      <c r="E20" s="50" t="s">
        <v>75</v>
      </c>
      <c r="F20" s="50" t="s">
        <v>29</v>
      </c>
      <c r="G20" s="50">
        <f>COUNTIF(data!$B$2:$B$201,F20)</f>
        <v>9</v>
      </c>
      <c r="H20" s="50">
        <f>SUMIF(data!$B$2:$B$201, F20, data!$F$2:$F$201)</f>
        <v>90</v>
      </c>
      <c r="I20" s="51">
        <f>SUMIF(data!$B$2:$B$201, F20, data!$E$2:$E$201)</f>
        <v>9970.1999999999989</v>
      </c>
      <c r="J20" s="51">
        <f>SUMIF(data!$B$2:$B$201, F20, data!$I$2:$I$201)</f>
        <v>3241.1099999999997</v>
      </c>
      <c r="K20" s="52">
        <f>ROUND(AVERAGEIF(data!$B$2:$B$201, F20, data!$G$2:$G$201)*100, 0)</f>
        <v>7</v>
      </c>
      <c r="L20" s="49" t="str">
        <f t="shared" si="0"/>
        <v>YES</v>
      </c>
      <c r="M20" s="95">
        <f t="shared" ca="1" si="1"/>
        <v>46280.596419791669</v>
      </c>
    </row>
    <row r="21" spans="1:18" x14ac:dyDescent="0.3">
      <c r="E21" s="50" t="s">
        <v>9</v>
      </c>
      <c r="F21" s="50" t="s">
        <v>48</v>
      </c>
      <c r="G21" s="50">
        <f>COUNTIF(data!$B$2:$B$201,F21)</f>
        <v>9</v>
      </c>
      <c r="H21" s="50">
        <f>SUMIF(data!$B$2:$B$201, F21, data!$F$2:$F$201)</f>
        <v>85</v>
      </c>
      <c r="I21" s="51">
        <f>SUMIF(data!$B$2:$B$201, F21, data!$E$2:$E$201)</f>
        <v>8090.12</v>
      </c>
      <c r="J21" s="51">
        <f>SUMIF(data!$B$2:$B$201, F21, data!$I$2:$I$201)</f>
        <v>2918.14</v>
      </c>
      <c r="K21" s="52">
        <f>ROUND(AVERAGEIF(data!$B$2:$B$201, F21, data!$G$2:$G$201)*100, 0)</f>
        <v>9</v>
      </c>
      <c r="L21" s="49" t="str">
        <f t="shared" si="0"/>
        <v>YES</v>
      </c>
      <c r="M21" s="95">
        <f t="shared" ca="1" si="1"/>
        <v>46280.596419791669</v>
      </c>
    </row>
    <row r="22" spans="1:18" x14ac:dyDescent="0.3">
      <c r="E22" s="50" t="s">
        <v>68</v>
      </c>
      <c r="F22" s="50" t="s">
        <v>45</v>
      </c>
      <c r="G22" s="50">
        <f>COUNTIF(data!$B$2:$B$201,F22)</f>
        <v>10</v>
      </c>
      <c r="H22" s="50">
        <f>SUMIF(data!$B$2:$B$201, F22, data!$F$2:$F$201)</f>
        <v>60</v>
      </c>
      <c r="I22" s="51">
        <f>SUMIF(data!$B$2:$B$201, F22, data!$E$2:$E$201)</f>
        <v>8635.9500000000007</v>
      </c>
      <c r="J22" s="51">
        <f>SUMIF(data!$B$2:$B$201, F22, data!$I$2:$I$201)</f>
        <v>3074.45</v>
      </c>
      <c r="K22" s="52">
        <f>ROUND(AVERAGEIF(data!$B$2:$B$201, F22, data!$G$2:$G$201)*100, 0)</f>
        <v>8</v>
      </c>
      <c r="L22" s="49" t="str">
        <f t="shared" si="0"/>
        <v>YES</v>
      </c>
      <c r="M22" s="95">
        <f t="shared" ca="1" si="1"/>
        <v>46280.596419791669</v>
      </c>
    </row>
    <row r="23" spans="1:18" x14ac:dyDescent="0.3">
      <c r="E23" s="50" t="s">
        <v>57</v>
      </c>
      <c r="F23" s="50" t="s">
        <v>31</v>
      </c>
      <c r="G23" s="50">
        <f>COUNTIF(data!$B$2:$B$201,F23)</f>
        <v>17</v>
      </c>
      <c r="H23" s="50">
        <f>SUMIF(data!$B$2:$B$201, F23, data!$F$2:$F$201)</f>
        <v>165</v>
      </c>
      <c r="I23" s="51">
        <f>SUMIF(data!$B$2:$B$201, F23, data!$E$2:$E$201)</f>
        <v>17143.289999999997</v>
      </c>
      <c r="J23" s="51">
        <f>SUMIF(data!$B$2:$B$201, F23, data!$I$2:$I$201)</f>
        <v>6553.7899999999991</v>
      </c>
      <c r="K23" s="52">
        <f>ROUND(AVERAGEIF(data!$B$2:$B$201, F23, data!$G$2:$G$201)*100, 0)</f>
        <v>9</v>
      </c>
      <c r="L23" s="49" t="str">
        <f t="shared" si="0"/>
        <v>YES</v>
      </c>
      <c r="M23" s="95">
        <f t="shared" ca="1" si="1"/>
        <v>46280.596419791669</v>
      </c>
    </row>
    <row r="24" spans="1:18" x14ac:dyDescent="0.3">
      <c r="E24" s="9" t="s">
        <v>49</v>
      </c>
      <c r="F24" s="9" t="s">
        <v>47</v>
      </c>
      <c r="G24" s="9">
        <f>COUNTIF(data!$B$2:$B$201,F24)</f>
        <v>6</v>
      </c>
      <c r="H24" s="9">
        <f>SUMIF(data!$B$2:$B$201, F24, data!$F$2:$F$201)</f>
        <v>51</v>
      </c>
      <c r="I24" s="11">
        <f>SUMIF(data!$B$2:$B$201, F24, data!$E$2:$E$201)</f>
        <v>7251.18</v>
      </c>
      <c r="J24" s="11">
        <f>SUMIF(data!$B$2:$B$201, F24, data!$I$2:$I$201)</f>
        <v>2339.64</v>
      </c>
      <c r="K24" s="14">
        <f>ROUND(AVERAGEIF(data!$B$2:$B$201, F24, data!$G$2:$G$201)*100, 0)</f>
        <v>13</v>
      </c>
      <c r="L24" s="28" t="str">
        <f t="shared" si="0"/>
        <v>NO</v>
      </c>
      <c r="M24" s="93">
        <f t="shared" ca="1" si="1"/>
        <v>46280.596419791669</v>
      </c>
    </row>
    <row r="25" spans="1:18" x14ac:dyDescent="0.3">
      <c r="E25" s="9" t="s">
        <v>40</v>
      </c>
      <c r="F25" s="9" t="s">
        <v>59</v>
      </c>
      <c r="G25" s="9">
        <f>COUNTIF(data!$B$2:$B$201,F25)</f>
        <v>6</v>
      </c>
      <c r="H25" s="9">
        <f>SUMIF(data!$B$2:$B$201, F25, data!$F$2:$F$201)</f>
        <v>69</v>
      </c>
      <c r="I25" s="11">
        <f>SUMIF(data!$B$2:$B$201, F25, data!$E$2:$E$201)</f>
        <v>5443.34</v>
      </c>
      <c r="J25" s="11">
        <f>SUMIF(data!$B$2:$B$201, F25, data!$I$2:$I$201)</f>
        <v>2285.64</v>
      </c>
      <c r="K25" s="14">
        <f>ROUND(AVERAGEIF(data!$B$2:$B$201, F25, data!$G$2:$G$201)*100, 0)</f>
        <v>8</v>
      </c>
      <c r="L25" s="28" t="str">
        <f t="shared" si="0"/>
        <v>NO</v>
      </c>
      <c r="M25" s="93">
        <f t="shared" ca="1" si="1"/>
        <v>46280.596419791669</v>
      </c>
    </row>
    <row r="26" spans="1:18" x14ac:dyDescent="0.3">
      <c r="E26" s="50" t="s">
        <v>70</v>
      </c>
      <c r="F26" s="50" t="s">
        <v>26</v>
      </c>
      <c r="G26" s="50">
        <f>COUNTIF(data!$B$2:$B$201,F26)</f>
        <v>8</v>
      </c>
      <c r="H26" s="50">
        <f>SUMIF(data!$B$2:$B$201, F26, data!$F$2:$F$201)</f>
        <v>103</v>
      </c>
      <c r="I26" s="51">
        <f>SUMIF(data!$B$2:$B$201, F26, data!$E$2:$E$201)</f>
        <v>7881.9</v>
      </c>
      <c r="J26" s="51">
        <f>SUMIF(data!$B$2:$B$201, F26, data!$I$2:$I$201)</f>
        <v>2535.5100000000002</v>
      </c>
      <c r="K26" s="52">
        <f>ROUND(AVERAGEIF(data!$B$2:$B$201, F26, data!$G$2:$G$201)*100, 0)</f>
        <v>15</v>
      </c>
      <c r="L26" s="49" t="str">
        <f t="shared" si="0"/>
        <v>YES</v>
      </c>
      <c r="M26" s="95">
        <f t="shared" ca="1" si="1"/>
        <v>46280.596419791669</v>
      </c>
    </row>
    <row r="27" spans="1:18" x14ac:dyDescent="0.3">
      <c r="E27" s="50" t="s">
        <v>54</v>
      </c>
      <c r="F27" s="50" t="s">
        <v>14</v>
      </c>
      <c r="G27" s="50">
        <f>COUNTIF(data!$B$2:$B$201,F27)</f>
        <v>10</v>
      </c>
      <c r="H27" s="50">
        <f>SUMIF(data!$B$2:$B$201, F27, data!$F$2:$F$201)</f>
        <v>65</v>
      </c>
      <c r="I27" s="51">
        <f>SUMIF(data!$B$2:$B$201, F27, data!$E$2:$E$201)</f>
        <v>8331.8499999999985</v>
      </c>
      <c r="J27" s="51">
        <f>SUMIF(data!$B$2:$B$201, F27, data!$I$2:$I$201)</f>
        <v>2765.53</v>
      </c>
      <c r="K27" s="52">
        <f>ROUND(AVERAGEIF(data!$B$2:$B$201, F27, data!$G$2:$G$201)*100, 0)</f>
        <v>12</v>
      </c>
      <c r="L27" s="49" t="str">
        <f t="shared" si="0"/>
        <v>YES</v>
      </c>
      <c r="M27" s="95">
        <f t="shared" ca="1" si="1"/>
        <v>46280.596419791669</v>
      </c>
    </row>
    <row r="28" spans="1:18" x14ac:dyDescent="0.3">
      <c r="E28" s="9" t="s">
        <v>30</v>
      </c>
      <c r="F28" s="9" t="s">
        <v>43</v>
      </c>
      <c r="G28" s="9">
        <f>COUNTIF(data!$B$2:$B$201,F28)</f>
        <v>8</v>
      </c>
      <c r="H28" s="9">
        <f>SUMIF(data!$B$2:$B$201, F28, data!$F$2:$F$201)</f>
        <v>119</v>
      </c>
      <c r="I28" s="11">
        <f>SUMIF(data!$B$2:$B$201, F28, data!$E$2:$E$201)</f>
        <v>7296.1900000000005</v>
      </c>
      <c r="J28" s="11">
        <f>SUMIF(data!$B$2:$B$201, F28, data!$I$2:$I$201)</f>
        <v>2060.81</v>
      </c>
      <c r="K28" s="14">
        <f>ROUND(AVERAGEIF(data!$B$2:$B$201, F28, data!$G$2:$G$201)*100, 0)</f>
        <v>14</v>
      </c>
      <c r="L28" s="28" t="str">
        <f t="shared" si="0"/>
        <v>NO</v>
      </c>
      <c r="M28" s="93">
        <f t="shared" ca="1" si="1"/>
        <v>46280.596419791669</v>
      </c>
    </row>
    <row r="29" spans="1:18" x14ac:dyDescent="0.3">
      <c r="E29" s="9" t="s">
        <v>74</v>
      </c>
      <c r="F29" s="9" t="s">
        <v>64</v>
      </c>
      <c r="G29" s="9">
        <f>COUNTIF(data!$B$2:$B$201,F29)</f>
        <v>6</v>
      </c>
      <c r="H29" s="9">
        <f>SUMIF(data!$B$2:$B$201, F29, data!$F$2:$F$201)</f>
        <v>48</v>
      </c>
      <c r="I29" s="11">
        <f>SUMIF(data!$B$2:$B$201, F29, data!$E$2:$E$201)</f>
        <v>5771.59</v>
      </c>
      <c r="J29" s="11">
        <f>SUMIF(data!$B$2:$B$201, F29, data!$I$2:$I$201)</f>
        <v>2039.74</v>
      </c>
      <c r="K29" s="14">
        <f>ROUND(AVERAGEIF(data!$B$2:$B$201, F29, data!$G$2:$G$201)*100, 0)</f>
        <v>12</v>
      </c>
      <c r="L29" s="28" t="str">
        <f t="shared" si="0"/>
        <v>NO</v>
      </c>
      <c r="M29" s="93">
        <f t="shared" ca="1" si="1"/>
        <v>46280.596419791669</v>
      </c>
    </row>
    <row r="30" spans="1:18" x14ac:dyDescent="0.3">
      <c r="A30" s="8"/>
      <c r="B30" s="8"/>
      <c r="C30" s="8"/>
      <c r="D30" s="8"/>
      <c r="E30" s="10"/>
      <c r="F30" s="10"/>
      <c r="G30" s="13"/>
    </row>
    <row r="31" spans="1:18" x14ac:dyDescent="0.3">
      <c r="A31" s="8"/>
      <c r="B31" s="8"/>
      <c r="C31" s="8"/>
      <c r="D31" s="8"/>
      <c r="E31" s="10"/>
      <c r="F31" s="10"/>
      <c r="G31" s="13"/>
    </row>
    <row r="32" spans="1:18" x14ac:dyDescent="0.3">
      <c r="A32" s="8"/>
      <c r="B32" s="8"/>
      <c r="C32" s="8"/>
      <c r="D32" s="8"/>
      <c r="E32" s="10"/>
      <c r="F32" s="10"/>
      <c r="G32" s="13"/>
    </row>
  </sheetData>
  <sortState xmlns:xlrd2="http://schemas.microsoft.com/office/spreadsheetml/2017/richdata2" ref="E3:E29">
    <sortCondition ref="E3:E29"/>
  </sortState>
  <mergeCells count="1">
    <mergeCell ref="E1:M1"/>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8851D-8805-447A-9782-C68198937B87}">
  <dimension ref="A1:H11"/>
  <sheetViews>
    <sheetView zoomScale="160" zoomScaleNormal="160" workbookViewId="0">
      <selection activeCell="A2" sqref="A2"/>
    </sheetView>
  </sheetViews>
  <sheetFormatPr defaultRowHeight="14.4" x14ac:dyDescent="0.3"/>
  <cols>
    <col min="1" max="1" width="25.77734375" customWidth="1"/>
    <col min="2" max="2" width="12.6640625" customWidth="1"/>
    <col min="3" max="3" width="10" bestFit="1" customWidth="1"/>
    <col min="4" max="4" width="12.77734375" customWidth="1"/>
    <col min="5" max="5" width="18.6640625" customWidth="1"/>
    <col min="6" max="6" width="13.5546875" bestFit="1" customWidth="1"/>
    <col min="7" max="7" width="8.88671875" customWidth="1"/>
  </cols>
  <sheetData>
    <row r="1" spans="1:8" ht="21" x14ac:dyDescent="0.3">
      <c r="A1" s="113" t="s">
        <v>154</v>
      </c>
      <c r="B1" s="113"/>
      <c r="C1" s="113"/>
      <c r="D1" s="113"/>
      <c r="E1" s="113"/>
      <c r="F1" s="113"/>
      <c r="G1" s="113"/>
      <c r="H1" s="113"/>
    </row>
    <row r="3" spans="1:8" ht="18" x14ac:dyDescent="0.3">
      <c r="A3" s="114" t="s">
        <v>147</v>
      </c>
      <c r="B3" s="114"/>
      <c r="D3" s="74" t="s">
        <v>148</v>
      </c>
      <c r="E3" s="74" t="s">
        <v>149</v>
      </c>
      <c r="F3" s="74" t="s">
        <v>150</v>
      </c>
    </row>
    <row r="4" spans="1:8" x14ac:dyDescent="0.3">
      <c r="A4" s="60" t="s">
        <v>140</v>
      </c>
      <c r="B4" s="54">
        <f>AVERAGE(data[Discount])</f>
        <v>9.7250000000000003E-2</v>
      </c>
      <c r="D4" s="58">
        <v>0</v>
      </c>
      <c r="E4" s="59">
        <f>SUM($B$5*(1-D4)-($B$5*(1-$B$4)-$B$6))</f>
        <v>87271.937160000001</v>
      </c>
      <c r="F4" s="59">
        <f>E4-$B$6</f>
        <v>18984.927159999992</v>
      </c>
    </row>
    <row r="5" spans="1:8" x14ac:dyDescent="0.3">
      <c r="A5" s="60" t="s">
        <v>141</v>
      </c>
      <c r="B5" s="61">
        <f>SUM(data[Sales])</f>
        <v>195217.75999999992</v>
      </c>
      <c r="D5" s="58">
        <v>0.05</v>
      </c>
      <c r="E5" s="59">
        <f t="shared" ref="E5:E10" si="0">SUM($B$5*(1-D5)-($B$5*(1-$B$4)-$B$6))</f>
        <v>77511.049159999995</v>
      </c>
      <c r="F5" s="59">
        <f t="shared" ref="F5:F10" si="1">E5-$B$6</f>
        <v>9224.0391599999857</v>
      </c>
    </row>
    <row r="6" spans="1:8" x14ac:dyDescent="0.3">
      <c r="A6" s="60" t="s">
        <v>142</v>
      </c>
      <c r="B6" s="61">
        <f>SUM(data[Profit])</f>
        <v>68287.010000000009</v>
      </c>
      <c r="C6" s="46"/>
      <c r="D6" s="58">
        <v>0.1</v>
      </c>
      <c r="E6" s="59">
        <f t="shared" si="0"/>
        <v>67750.161160000018</v>
      </c>
      <c r="F6" s="59">
        <f t="shared" si="1"/>
        <v>-536.84883999999147</v>
      </c>
    </row>
    <row r="7" spans="1:8" x14ac:dyDescent="0.3">
      <c r="A7" s="28"/>
      <c r="B7" s="28"/>
      <c r="D7" s="58">
        <v>0.15</v>
      </c>
      <c r="E7" s="59">
        <f t="shared" si="0"/>
        <v>57989.273160000012</v>
      </c>
      <c r="F7" s="59">
        <f t="shared" si="1"/>
        <v>-10297.736839999998</v>
      </c>
    </row>
    <row r="8" spans="1:8" ht="18" x14ac:dyDescent="0.3">
      <c r="A8" s="114" t="s">
        <v>146</v>
      </c>
      <c r="B8" s="114"/>
      <c r="D8" s="58">
        <v>0.2</v>
      </c>
      <c r="E8" s="59">
        <f t="shared" si="0"/>
        <v>48228.385160000034</v>
      </c>
      <c r="F8" s="59">
        <f t="shared" si="1"/>
        <v>-20058.624839999975</v>
      </c>
    </row>
    <row r="9" spans="1:8" x14ac:dyDescent="0.3">
      <c r="A9" s="60" t="s">
        <v>143</v>
      </c>
      <c r="B9" s="54">
        <v>0.11</v>
      </c>
      <c r="D9" s="58">
        <v>0.25</v>
      </c>
      <c r="E9" s="59">
        <f t="shared" si="0"/>
        <v>38467.497160000028</v>
      </c>
      <c r="F9" s="59">
        <f t="shared" si="1"/>
        <v>-29819.512839999981</v>
      </c>
    </row>
    <row r="10" spans="1:8" x14ac:dyDescent="0.3">
      <c r="A10" s="60" t="s">
        <v>144</v>
      </c>
      <c r="B10" s="61">
        <f>SUM(B5*(1-$B$9)-(B5*(1-B4)-B6))</f>
        <v>65797.983560000022</v>
      </c>
      <c r="D10" s="58">
        <v>0.3</v>
      </c>
      <c r="E10" s="59">
        <f t="shared" si="0"/>
        <v>28706.609160000022</v>
      </c>
      <c r="F10" s="59">
        <f t="shared" si="1"/>
        <v>-39580.400839999988</v>
      </c>
    </row>
    <row r="11" spans="1:8" x14ac:dyDescent="0.3">
      <c r="A11" s="60" t="s">
        <v>145</v>
      </c>
      <c r="B11" s="61">
        <f>B10-B6</f>
        <v>-2489.0264399999869</v>
      </c>
    </row>
  </sheetData>
  <mergeCells count="3">
    <mergeCell ref="A1:H1"/>
    <mergeCell ref="A3:B3"/>
    <mergeCell ref="A8:B8"/>
  </mergeCells>
  <conditionalFormatting sqref="B11">
    <cfRule type="cellIs" dxfId="3" priority="1" operator="lessThan">
      <formula>0</formula>
    </cfRule>
    <cfRule type="cellIs" dxfId="2" priority="2" operator="greaterThan">
      <formula>0</formula>
    </cfRule>
  </conditionalFormatting>
  <conditionalFormatting sqref="F4:F10">
    <cfRule type="cellIs" dxfId="1" priority="3" operator="lessThan">
      <formula>0</formula>
    </cfRule>
    <cfRule type="cellIs" dxfId="0" priority="4"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940E-07D2-4959-8F36-D82B9A31F26C}">
  <dimension ref="A1:M34"/>
  <sheetViews>
    <sheetView zoomScale="120" zoomScaleNormal="120" workbookViewId="0">
      <selection activeCell="H19" sqref="H19"/>
    </sheetView>
  </sheetViews>
  <sheetFormatPr defaultRowHeight="14.4" x14ac:dyDescent="0.3"/>
  <cols>
    <col min="1" max="1" width="16.44140625" bestFit="1" customWidth="1"/>
    <col min="2" max="2" width="13.6640625" bestFit="1" customWidth="1"/>
    <col min="3" max="3" width="13.21875" bestFit="1" customWidth="1"/>
    <col min="4" max="4" width="12.6640625" bestFit="1" customWidth="1"/>
    <col min="5" max="5" width="12" bestFit="1" customWidth="1"/>
    <col min="6" max="6" width="12.77734375" bestFit="1" customWidth="1"/>
    <col min="7" max="7" width="12" bestFit="1" customWidth="1"/>
    <col min="8" max="8" width="12.6640625" bestFit="1" customWidth="1"/>
    <col min="9" max="9" width="12" bestFit="1" customWidth="1"/>
    <col min="11" max="11" width="17" bestFit="1" customWidth="1"/>
    <col min="12" max="12" width="11.44140625" bestFit="1" customWidth="1"/>
    <col min="13" max="13" width="10.44140625" bestFit="1" customWidth="1"/>
  </cols>
  <sheetData>
    <row r="1" spans="1:13" ht="21" x14ac:dyDescent="0.3">
      <c r="A1" s="113" t="s">
        <v>155</v>
      </c>
      <c r="B1" s="113"/>
      <c r="C1" s="113"/>
      <c r="D1" s="113"/>
      <c r="E1" s="113"/>
      <c r="F1" s="113"/>
      <c r="G1" s="113"/>
      <c r="H1" s="113"/>
      <c r="I1" s="113"/>
      <c r="K1" s="117" t="s">
        <v>156</v>
      </c>
      <c r="L1" s="118"/>
      <c r="M1" s="119"/>
    </row>
    <row r="2" spans="1:13" x14ac:dyDescent="0.3">
      <c r="A2" s="115" t="s">
        <v>83</v>
      </c>
      <c r="B2" s="116"/>
      <c r="C2" s="9"/>
      <c r="D2" s="9"/>
      <c r="E2" s="9"/>
      <c r="F2" s="9"/>
      <c r="G2" s="9"/>
      <c r="H2" s="9"/>
      <c r="I2" s="25"/>
      <c r="K2" s="43" t="s">
        <v>117</v>
      </c>
      <c r="L2" s="44" t="s">
        <v>4</v>
      </c>
      <c r="M2" s="45" t="s">
        <v>8</v>
      </c>
    </row>
    <row r="3" spans="1:13" x14ac:dyDescent="0.3">
      <c r="A3" s="21" t="s">
        <v>84</v>
      </c>
      <c r="B3" s="22">
        <v>0.77356566420146511</v>
      </c>
      <c r="C3" s="9"/>
      <c r="D3" s="9"/>
      <c r="E3" s="9"/>
      <c r="F3" s="9"/>
      <c r="G3" s="9"/>
      <c r="H3" s="9"/>
      <c r="I3" s="25"/>
      <c r="K3" s="31" t="s">
        <v>105</v>
      </c>
      <c r="L3" s="29">
        <v>975.78728643216039</v>
      </c>
      <c r="M3" s="32">
        <v>341.48472361809047</v>
      </c>
    </row>
    <row r="4" spans="1:13" x14ac:dyDescent="0.3">
      <c r="A4" s="21" t="s">
        <v>85</v>
      </c>
      <c r="B4" s="22">
        <v>0.59840383683145382</v>
      </c>
      <c r="C4" s="9"/>
      <c r="D4" s="9"/>
      <c r="E4" s="9"/>
      <c r="F4" s="9"/>
      <c r="G4" s="9"/>
      <c r="H4" s="9"/>
      <c r="I4" s="25"/>
      <c r="K4" s="31" t="s">
        <v>87</v>
      </c>
      <c r="L4" s="29">
        <v>21.266301032131288</v>
      </c>
      <c r="M4" s="32">
        <v>9.6483541158221815</v>
      </c>
    </row>
    <row r="5" spans="1:13" x14ac:dyDescent="0.3">
      <c r="A5" s="21" t="s">
        <v>86</v>
      </c>
      <c r="B5" s="22">
        <v>0.59636527762755254</v>
      </c>
      <c r="C5" s="9"/>
      <c r="D5" s="9"/>
      <c r="E5" s="9"/>
      <c r="F5" s="9"/>
      <c r="G5" s="9"/>
      <c r="H5" s="9"/>
      <c r="I5" s="25"/>
      <c r="K5" s="31" t="s">
        <v>106</v>
      </c>
      <c r="L5" s="29">
        <v>973.26</v>
      </c>
      <c r="M5" s="32">
        <v>332.32</v>
      </c>
    </row>
    <row r="6" spans="1:13" x14ac:dyDescent="0.3">
      <c r="A6" s="21" t="s">
        <v>87</v>
      </c>
      <c r="B6" s="22">
        <v>86.471707018508098</v>
      </c>
      <c r="C6" s="9"/>
      <c r="D6" s="9"/>
      <c r="E6" s="9"/>
      <c r="F6" s="9"/>
      <c r="G6" s="9"/>
      <c r="H6" s="9"/>
      <c r="I6" s="25"/>
      <c r="K6" s="31" t="s">
        <v>107</v>
      </c>
      <c r="L6" s="29" t="s">
        <v>118</v>
      </c>
      <c r="M6" s="32" t="s">
        <v>118</v>
      </c>
    </row>
    <row r="7" spans="1:13" x14ac:dyDescent="0.3">
      <c r="A7" s="21" t="s">
        <v>88</v>
      </c>
      <c r="B7" s="22">
        <v>199</v>
      </c>
      <c r="C7" s="9"/>
      <c r="D7" s="9"/>
      <c r="E7" s="9"/>
      <c r="F7" s="9"/>
      <c r="G7" s="9"/>
      <c r="H7" s="9"/>
      <c r="I7" s="25"/>
      <c r="K7" s="31" t="s">
        <v>108</v>
      </c>
      <c r="L7" s="29">
        <v>299.9980939243722</v>
      </c>
      <c r="M7" s="32">
        <v>136.10678415022619</v>
      </c>
    </row>
    <row r="8" spans="1:13" x14ac:dyDescent="0.3">
      <c r="A8" s="9"/>
      <c r="B8" s="9"/>
      <c r="C8" s="9"/>
      <c r="D8" s="9"/>
      <c r="E8" s="9"/>
      <c r="F8" s="9"/>
      <c r="G8" s="9"/>
      <c r="H8" s="9"/>
      <c r="I8" s="25"/>
      <c r="K8" s="31" t="s">
        <v>109</v>
      </c>
      <c r="L8" s="29">
        <v>89998.856358256453</v>
      </c>
      <c r="M8" s="32">
        <v>18525.056691716265</v>
      </c>
    </row>
    <row r="9" spans="1:13" x14ac:dyDescent="0.3">
      <c r="A9" s="9"/>
      <c r="B9" s="9"/>
      <c r="C9" s="9"/>
      <c r="D9" s="9"/>
      <c r="E9" s="9"/>
      <c r="F9" s="9"/>
      <c r="G9" s="9"/>
      <c r="H9" s="9"/>
      <c r="I9" s="25"/>
      <c r="K9" s="31" t="s">
        <v>110</v>
      </c>
      <c r="L9" s="29">
        <v>-0.10144708104707512</v>
      </c>
      <c r="M9" s="32">
        <v>0.24746466034092496</v>
      </c>
    </row>
    <row r="10" spans="1:13" x14ac:dyDescent="0.3">
      <c r="A10" s="21"/>
      <c r="B10" s="21" t="s">
        <v>93</v>
      </c>
      <c r="C10" s="21" t="s">
        <v>94</v>
      </c>
      <c r="D10" s="21" t="s">
        <v>95</v>
      </c>
      <c r="E10" s="21" t="s">
        <v>96</v>
      </c>
      <c r="F10" s="21" t="s">
        <v>97</v>
      </c>
      <c r="G10" s="9"/>
      <c r="H10" s="9"/>
      <c r="I10" s="25"/>
      <c r="K10" s="31" t="s">
        <v>111</v>
      </c>
      <c r="L10" s="29">
        <v>0.14954551654117604</v>
      </c>
      <c r="M10" s="32">
        <v>0.57090181327812994</v>
      </c>
    </row>
    <row r="11" spans="1:13" x14ac:dyDescent="0.3">
      <c r="A11" s="26" t="s">
        <v>89</v>
      </c>
      <c r="B11" s="27">
        <v>1</v>
      </c>
      <c r="C11" s="27">
        <v>2194922.0703649437</v>
      </c>
      <c r="D11" s="27">
        <v>2194922.0703649437</v>
      </c>
      <c r="E11" s="27">
        <v>293.54253518184368</v>
      </c>
      <c r="F11" s="27">
        <v>6.8782375878390769E-41</v>
      </c>
      <c r="G11" s="9"/>
      <c r="H11" s="9"/>
      <c r="I11" s="25"/>
      <c r="K11" s="31" t="s">
        <v>112</v>
      </c>
      <c r="L11" s="29">
        <v>1665.15</v>
      </c>
      <c r="M11" s="32">
        <v>704.83</v>
      </c>
    </row>
    <row r="12" spans="1:13" x14ac:dyDescent="0.3">
      <c r="A12" s="21" t="s">
        <v>90</v>
      </c>
      <c r="B12" s="22">
        <v>197</v>
      </c>
      <c r="C12" s="22">
        <v>1473039.1545948565</v>
      </c>
      <c r="D12" s="22">
        <v>7477.3561146947031</v>
      </c>
      <c r="E12" s="22"/>
      <c r="F12" s="22"/>
      <c r="G12" s="9"/>
      <c r="H12" s="9"/>
      <c r="I12" s="25"/>
      <c r="K12" s="31" t="s">
        <v>113</v>
      </c>
      <c r="L12" s="29">
        <v>258.51</v>
      </c>
      <c r="M12" s="32">
        <v>64.63</v>
      </c>
    </row>
    <row r="13" spans="1:13" x14ac:dyDescent="0.3">
      <c r="A13" s="21" t="s">
        <v>91</v>
      </c>
      <c r="B13" s="22">
        <v>198</v>
      </c>
      <c r="C13" s="22">
        <v>3667961.2249598</v>
      </c>
      <c r="D13" s="22"/>
      <c r="E13" s="22"/>
      <c r="F13" s="22"/>
      <c r="G13" s="9"/>
      <c r="H13" s="9"/>
      <c r="I13" s="25"/>
      <c r="K13" s="31" t="s">
        <v>114</v>
      </c>
      <c r="L13" s="29">
        <v>1923.66</v>
      </c>
      <c r="M13" s="32">
        <v>769.46</v>
      </c>
    </row>
    <row r="14" spans="1:13" x14ac:dyDescent="0.3">
      <c r="A14" s="9"/>
      <c r="B14" s="9"/>
      <c r="C14" s="9"/>
      <c r="D14" s="9"/>
      <c r="E14" s="9"/>
      <c r="F14" s="9"/>
      <c r="G14" s="9"/>
      <c r="H14" s="9"/>
      <c r="I14" s="25"/>
      <c r="K14" s="31" t="s">
        <v>115</v>
      </c>
      <c r="L14" s="29">
        <v>194181.66999999993</v>
      </c>
      <c r="M14" s="32">
        <v>67955.460000000006</v>
      </c>
    </row>
    <row r="15" spans="1:13" x14ac:dyDescent="0.3">
      <c r="A15" s="23"/>
      <c r="B15" s="24" t="s">
        <v>98</v>
      </c>
      <c r="C15" s="24" t="s">
        <v>87</v>
      </c>
      <c r="D15" s="24" t="s">
        <v>99</v>
      </c>
      <c r="E15" s="24" t="s">
        <v>100</v>
      </c>
      <c r="F15" s="24" t="s">
        <v>101</v>
      </c>
      <c r="G15" s="24" t="s">
        <v>102</v>
      </c>
      <c r="H15" s="24" t="s">
        <v>103</v>
      </c>
      <c r="I15" s="24" t="s">
        <v>104</v>
      </c>
      <c r="K15" s="33" t="s">
        <v>116</v>
      </c>
      <c r="L15" s="34">
        <v>199</v>
      </c>
      <c r="M15" s="35">
        <v>199</v>
      </c>
    </row>
    <row r="16" spans="1:13" x14ac:dyDescent="0.3">
      <c r="A16" s="21" t="s">
        <v>92</v>
      </c>
      <c r="B16" s="22">
        <v>-0.97824544662927337</v>
      </c>
      <c r="C16" s="22">
        <v>20.907197536053534</v>
      </c>
      <c r="D16" s="22">
        <v>-4.6789888742493228E-2</v>
      </c>
      <c r="E16" s="22">
        <v>0.96272808608450733</v>
      </c>
      <c r="F16" s="22">
        <v>-42.208891362546005</v>
      </c>
      <c r="G16" s="22">
        <v>40.252400469287458</v>
      </c>
      <c r="H16" s="22">
        <v>-42.208891362546005</v>
      </c>
      <c r="I16" s="22">
        <v>40.252400469287458</v>
      </c>
    </row>
    <row r="17" spans="1:9" x14ac:dyDescent="0.3">
      <c r="A17" s="22">
        <v>1036.0899999999999</v>
      </c>
      <c r="B17" s="22">
        <v>0.35096067947030868</v>
      </c>
      <c r="C17" s="22">
        <v>2.0484385572447462E-2</v>
      </c>
      <c r="D17" s="22">
        <v>17.133083061196064</v>
      </c>
      <c r="E17" s="22">
        <v>6.8782375878393705E-41</v>
      </c>
      <c r="F17" s="22">
        <v>0.31056385216305021</v>
      </c>
      <c r="G17" s="22">
        <v>0.39135750677756714</v>
      </c>
      <c r="H17" s="22">
        <v>0.31056385216305021</v>
      </c>
      <c r="I17" s="22">
        <v>0.39135750677756714</v>
      </c>
    </row>
    <row r="18" spans="1:9" x14ac:dyDescent="0.3">
      <c r="A18" s="28"/>
      <c r="B18" s="28"/>
      <c r="C18" s="28"/>
      <c r="D18" s="28"/>
      <c r="E18" s="28"/>
      <c r="F18" s="28"/>
      <c r="G18" s="28"/>
      <c r="H18" s="28"/>
      <c r="I18" s="28"/>
    </row>
    <row r="20" spans="1:9" x14ac:dyDescent="0.3">
      <c r="D20" s="20"/>
    </row>
    <row r="21" spans="1:9" x14ac:dyDescent="0.3">
      <c r="D21" s="16"/>
    </row>
    <row r="22" spans="1:9" x14ac:dyDescent="0.3">
      <c r="D22" s="16"/>
    </row>
    <row r="23" spans="1:9" x14ac:dyDescent="0.3">
      <c r="D23" s="30"/>
    </row>
    <row r="24" spans="1:9" x14ac:dyDescent="0.3">
      <c r="D24" s="16"/>
    </row>
    <row r="25" spans="1:9" x14ac:dyDescent="0.3">
      <c r="D25" s="16"/>
    </row>
    <row r="26" spans="1:9" x14ac:dyDescent="0.3">
      <c r="D26" s="16"/>
    </row>
    <row r="27" spans="1:9" x14ac:dyDescent="0.3">
      <c r="D27" s="16"/>
    </row>
    <row r="28" spans="1:9" x14ac:dyDescent="0.3">
      <c r="D28" s="16"/>
    </row>
    <row r="29" spans="1:9" x14ac:dyDescent="0.3">
      <c r="D29" s="16"/>
    </row>
    <row r="30" spans="1:9" x14ac:dyDescent="0.3">
      <c r="D30" s="16"/>
    </row>
    <row r="31" spans="1:9" x14ac:dyDescent="0.3">
      <c r="D31" s="16"/>
    </row>
    <row r="32" spans="1:9" x14ac:dyDescent="0.3">
      <c r="D32" s="16"/>
    </row>
    <row r="33" spans="4:4" x14ac:dyDescent="0.3">
      <c r="D33" s="16"/>
    </row>
    <row r="34" spans="4:4" x14ac:dyDescent="0.3">
      <c r="D34" s="16"/>
    </row>
  </sheetData>
  <mergeCells count="3">
    <mergeCell ref="A2:B2"/>
    <mergeCell ref="A1:I1"/>
    <mergeCell ref="K1:M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6BB1-366E-4CB9-96F0-AB56F98487E8}">
  <dimension ref="A1:L18"/>
  <sheetViews>
    <sheetView zoomScale="130" zoomScaleNormal="130" workbookViewId="0">
      <selection activeCell="E20" sqref="E20"/>
    </sheetView>
  </sheetViews>
  <sheetFormatPr defaultRowHeight="14.4" x14ac:dyDescent="0.3"/>
  <cols>
    <col min="1" max="1" width="14.6640625" bestFit="1" customWidth="1"/>
    <col min="2" max="2" width="11.6640625" bestFit="1" customWidth="1"/>
    <col min="3" max="3" width="14" customWidth="1"/>
  </cols>
  <sheetData>
    <row r="1" spans="1:12" ht="21" x14ac:dyDescent="0.4">
      <c r="A1" s="120" t="s">
        <v>157</v>
      </c>
      <c r="B1" s="121"/>
      <c r="C1" s="122"/>
      <c r="E1" s="123" t="s">
        <v>138</v>
      </c>
      <c r="F1" s="123"/>
      <c r="G1" s="123"/>
      <c r="H1" s="123"/>
      <c r="I1" s="123"/>
      <c r="J1" s="123"/>
      <c r="K1" s="123"/>
      <c r="L1" s="123"/>
    </row>
    <row r="2" spans="1:12" x14ac:dyDescent="0.3">
      <c r="A2" s="75" t="s">
        <v>119</v>
      </c>
      <c r="B2" s="76" t="s">
        <v>121</v>
      </c>
      <c r="C2" s="77" t="s">
        <v>136</v>
      </c>
      <c r="E2" s="36"/>
      <c r="F2" s="37"/>
      <c r="G2" s="37"/>
      <c r="H2" s="37"/>
      <c r="I2" s="37"/>
      <c r="J2" s="37"/>
      <c r="K2" s="37"/>
      <c r="L2" s="38"/>
    </row>
    <row r="3" spans="1:12" x14ac:dyDescent="0.3">
      <c r="A3" s="53" t="s">
        <v>122</v>
      </c>
      <c r="B3" s="55">
        <v>145429.36000000002</v>
      </c>
      <c r="C3" s="54" t="s">
        <v>137</v>
      </c>
      <c r="E3" s="39"/>
      <c r="F3" s="8"/>
      <c r="G3" s="8"/>
      <c r="H3" s="8"/>
      <c r="I3" s="8"/>
      <c r="J3" s="8"/>
      <c r="K3" s="8"/>
      <c r="L3" s="19"/>
    </row>
    <row r="4" spans="1:12" x14ac:dyDescent="0.3">
      <c r="A4" s="53" t="s">
        <v>127</v>
      </c>
      <c r="B4" s="55">
        <v>19029.96</v>
      </c>
      <c r="C4" s="54" t="s">
        <v>118</v>
      </c>
      <c r="E4" s="39"/>
      <c r="F4" s="8"/>
      <c r="G4" s="8"/>
      <c r="H4" s="8"/>
      <c r="I4" s="8"/>
      <c r="J4" s="8"/>
      <c r="K4" s="8"/>
      <c r="L4" s="19"/>
    </row>
    <row r="5" spans="1:12" x14ac:dyDescent="0.3">
      <c r="A5" s="53" t="s">
        <v>128</v>
      </c>
      <c r="B5" s="55">
        <v>18507.339999999997</v>
      </c>
      <c r="C5" s="54">
        <f>(B5-B4)/B4</f>
        <v>-2.7463010957458799E-2</v>
      </c>
      <c r="E5" s="39"/>
      <c r="F5" s="8"/>
      <c r="G5" s="8"/>
      <c r="H5" s="8"/>
      <c r="I5" s="8"/>
      <c r="J5" s="8"/>
      <c r="K5" s="8"/>
      <c r="L5" s="19"/>
    </row>
    <row r="6" spans="1:12" x14ac:dyDescent="0.3">
      <c r="A6" s="53" t="s">
        <v>129</v>
      </c>
      <c r="B6" s="55">
        <v>20187.509999999998</v>
      </c>
      <c r="C6" s="54">
        <f t="shared" ref="C6:C16" si="0">(B6-B5)/B5</f>
        <v>9.0783980842195702E-2</v>
      </c>
      <c r="E6" s="39"/>
      <c r="F6" s="8"/>
      <c r="G6" s="8"/>
      <c r="H6" s="8"/>
      <c r="I6" s="8"/>
      <c r="J6" s="8"/>
      <c r="K6" s="8"/>
      <c r="L6" s="19"/>
    </row>
    <row r="7" spans="1:12" x14ac:dyDescent="0.3">
      <c r="A7" s="53" t="s">
        <v>130</v>
      </c>
      <c r="B7" s="55">
        <v>11609.039999999999</v>
      </c>
      <c r="C7" s="54">
        <f t="shared" si="0"/>
        <v>-0.42493947990614001</v>
      </c>
      <c r="E7" s="39"/>
      <c r="F7" s="8"/>
      <c r="G7" s="8"/>
      <c r="H7" s="8"/>
      <c r="I7" s="8"/>
      <c r="J7" s="8"/>
      <c r="K7" s="8"/>
      <c r="L7" s="19"/>
    </row>
    <row r="8" spans="1:12" x14ac:dyDescent="0.3">
      <c r="A8" s="53" t="s">
        <v>131</v>
      </c>
      <c r="B8" s="55">
        <v>10091.699999999999</v>
      </c>
      <c r="C8" s="54">
        <f t="shared" si="0"/>
        <v>-0.13070331396911375</v>
      </c>
      <c r="E8" s="39"/>
      <c r="F8" s="8"/>
      <c r="G8" s="8"/>
      <c r="H8" s="8"/>
      <c r="I8" s="8"/>
      <c r="J8" s="8"/>
      <c r="K8" s="8"/>
      <c r="L8" s="19"/>
    </row>
    <row r="9" spans="1:12" x14ac:dyDescent="0.3">
      <c r="A9" s="53" t="s">
        <v>132</v>
      </c>
      <c r="B9" s="55">
        <v>20533.499999999996</v>
      </c>
      <c r="C9" s="54">
        <f t="shared" si="0"/>
        <v>1.0346918755016496</v>
      </c>
      <c r="E9" s="39"/>
      <c r="F9" s="8"/>
      <c r="G9" s="8"/>
      <c r="H9" s="8"/>
      <c r="I9" s="8"/>
      <c r="J9" s="8"/>
      <c r="K9" s="8"/>
      <c r="L9" s="19"/>
    </row>
    <row r="10" spans="1:12" x14ac:dyDescent="0.3">
      <c r="A10" s="53" t="s">
        <v>133</v>
      </c>
      <c r="B10" s="55">
        <v>14215.240000000002</v>
      </c>
      <c r="C10" s="54">
        <f t="shared" si="0"/>
        <v>-0.30770496992719193</v>
      </c>
      <c r="E10" s="39"/>
      <c r="F10" s="8"/>
      <c r="G10" s="8"/>
      <c r="H10" s="8"/>
      <c r="I10" s="8"/>
      <c r="J10" s="8"/>
      <c r="K10" s="8"/>
      <c r="L10" s="19"/>
    </row>
    <row r="11" spans="1:12" x14ac:dyDescent="0.3">
      <c r="A11" s="53" t="s">
        <v>134</v>
      </c>
      <c r="B11" s="55">
        <v>20135.030000000002</v>
      </c>
      <c r="C11" s="54">
        <f t="shared" si="0"/>
        <v>0.4164396802305132</v>
      </c>
      <c r="E11" s="39"/>
      <c r="F11" s="8"/>
      <c r="G11" s="8"/>
      <c r="H11" s="8"/>
      <c r="I11" s="8"/>
      <c r="J11" s="8"/>
      <c r="K11" s="8"/>
      <c r="L11" s="19"/>
    </row>
    <row r="12" spans="1:12" x14ac:dyDescent="0.3">
      <c r="A12" s="53" t="s">
        <v>135</v>
      </c>
      <c r="B12" s="55">
        <v>11120.04</v>
      </c>
      <c r="C12" s="54">
        <f t="shared" si="0"/>
        <v>-0.44772667336477773</v>
      </c>
      <c r="E12" s="39"/>
      <c r="F12" s="8"/>
      <c r="G12" s="8"/>
      <c r="H12" s="8"/>
      <c r="I12" s="8"/>
      <c r="J12" s="8"/>
      <c r="K12" s="8"/>
      <c r="L12" s="19"/>
    </row>
    <row r="13" spans="1:12" x14ac:dyDescent="0.3">
      <c r="A13" s="53" t="s">
        <v>123</v>
      </c>
      <c r="B13" s="55">
        <v>49788.399999999994</v>
      </c>
      <c r="C13" s="54" t="s">
        <v>137</v>
      </c>
      <c r="E13" s="39"/>
      <c r="F13" s="8"/>
      <c r="G13" s="8"/>
      <c r="H13" s="8"/>
      <c r="I13" s="8"/>
      <c r="J13" s="8"/>
      <c r="K13" s="8"/>
      <c r="L13" s="19"/>
    </row>
    <row r="14" spans="1:12" x14ac:dyDescent="0.3">
      <c r="A14" s="53" t="s">
        <v>124</v>
      </c>
      <c r="B14" s="55">
        <v>14914.650000000001</v>
      </c>
      <c r="C14" s="54">
        <f>(B14-B12)/B12</f>
        <v>0.34124067899036337</v>
      </c>
      <c r="E14" s="39"/>
      <c r="F14" s="8"/>
      <c r="G14" s="8"/>
      <c r="H14" s="8"/>
      <c r="I14" s="8"/>
      <c r="J14" s="8"/>
      <c r="K14" s="8"/>
      <c r="L14" s="19"/>
    </row>
    <row r="15" spans="1:12" x14ac:dyDescent="0.3">
      <c r="A15" s="53" t="s">
        <v>125</v>
      </c>
      <c r="B15" s="55">
        <v>14006.359999999999</v>
      </c>
      <c r="C15" s="54">
        <f t="shared" si="0"/>
        <v>-6.0899183018039482E-2</v>
      </c>
      <c r="E15" s="39"/>
      <c r="F15" s="8"/>
      <c r="G15" s="8"/>
      <c r="H15" s="8"/>
      <c r="I15" s="8"/>
      <c r="J15" s="8"/>
      <c r="K15" s="8"/>
      <c r="L15" s="19"/>
    </row>
    <row r="16" spans="1:12" x14ac:dyDescent="0.3">
      <c r="A16" s="53" t="s">
        <v>126</v>
      </c>
      <c r="B16" s="55">
        <v>17655.219999999998</v>
      </c>
      <c r="C16" s="54">
        <f t="shared" si="0"/>
        <v>0.26051450912299834</v>
      </c>
      <c r="E16" s="39"/>
      <c r="F16" s="8"/>
      <c r="G16" s="8"/>
      <c r="H16" s="8"/>
      <c r="I16" s="8"/>
      <c r="J16" s="8"/>
      <c r="K16" s="8"/>
      <c r="L16" s="19"/>
    </row>
    <row r="17" spans="1:12" x14ac:dyDescent="0.3">
      <c r="A17" s="53" t="s">
        <v>127</v>
      </c>
      <c r="B17" s="55">
        <v>3212.17</v>
      </c>
      <c r="C17" s="54">
        <f>(B17-B16)/B16</f>
        <v>-0.81806117397574196</v>
      </c>
      <c r="E17" s="39"/>
      <c r="F17" s="8"/>
      <c r="G17" s="8"/>
      <c r="H17" s="8"/>
      <c r="I17" s="8"/>
      <c r="J17" s="8"/>
      <c r="K17" s="8"/>
      <c r="L17" s="19"/>
    </row>
    <row r="18" spans="1:12" x14ac:dyDescent="0.3">
      <c r="A18" s="75" t="s">
        <v>120</v>
      </c>
      <c r="B18" s="78">
        <v>195217.76</v>
      </c>
      <c r="C18" s="54" t="s">
        <v>137</v>
      </c>
      <c r="E18" s="40"/>
      <c r="F18" s="41"/>
      <c r="G18" s="41"/>
      <c r="H18" s="41"/>
      <c r="I18" s="41"/>
      <c r="J18" s="41"/>
      <c r="K18" s="41"/>
      <c r="L18" s="42"/>
    </row>
  </sheetData>
  <mergeCells count="2">
    <mergeCell ref="A1:C1"/>
    <mergeCell ref="E1:L1"/>
  </mergeCells>
  <conditionalFormatting sqref="C5:C6">
    <cfRule type="iconSet" priority="1">
      <iconSet iconSet="3Arrows">
        <cfvo type="percent" val="0"/>
        <cfvo type="percent" val="33"/>
        <cfvo type="percent" val="67"/>
      </iconSet>
    </cfRule>
  </conditionalFormatting>
  <conditionalFormatting sqref="C5:C12">
    <cfRule type="iconSet" priority="5">
      <iconSet iconSet="3Arrows">
        <cfvo type="percent" val="0"/>
        <cfvo type="percent" val="33"/>
        <cfvo type="percent" val="67"/>
      </iconSet>
    </cfRule>
  </conditionalFormatting>
  <conditionalFormatting sqref="C9:C15">
    <cfRule type="iconSet" priority="3">
      <iconSet iconSet="3Arrows">
        <cfvo type="percent" val="0"/>
        <cfvo type="percent" val="33"/>
        <cfvo type="percent" val="67"/>
      </iconSet>
    </cfRule>
  </conditionalFormatting>
  <conditionalFormatting sqref="C10:C14">
    <cfRule type="iconSet" priority="2">
      <iconSet iconSet="3Arrows">
        <cfvo type="percent" val="0"/>
        <cfvo type="percent" val="33"/>
        <cfvo type="percent" val="67"/>
      </iconSet>
    </cfRule>
  </conditionalFormatting>
  <conditionalFormatting sqref="C14:C17">
    <cfRule type="iconSet" priority="4">
      <iconSet iconSet="3Arrows">
        <cfvo type="percent" val="0"/>
        <cfvo type="percent" val="33"/>
        <cfvo type="percent" val="67"/>
      </iconSet>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0516-BD2A-4922-A1F7-7CF46E6E9EBC}">
  <dimension ref="A1:P18"/>
  <sheetViews>
    <sheetView zoomScale="120" zoomScaleNormal="120" workbookViewId="0">
      <selection activeCell="L21" sqref="L21"/>
    </sheetView>
  </sheetViews>
  <sheetFormatPr defaultRowHeight="14.4" x14ac:dyDescent="0.3"/>
  <cols>
    <col min="1" max="1" width="20.21875" bestFit="1" customWidth="1"/>
    <col min="2" max="2" width="14.5546875" bestFit="1" customWidth="1"/>
    <col min="3" max="6" width="11" bestFit="1" customWidth="1"/>
    <col min="7" max="7" width="10.5546875" bestFit="1" customWidth="1"/>
  </cols>
  <sheetData>
    <row r="1" spans="1:16" ht="21" x14ac:dyDescent="0.4">
      <c r="A1" s="120" t="s">
        <v>158</v>
      </c>
      <c r="B1" s="121"/>
      <c r="C1" s="121"/>
      <c r="D1" s="121"/>
      <c r="E1" s="121"/>
      <c r="F1" s="121"/>
      <c r="G1" s="122"/>
      <c r="I1" s="124" t="s">
        <v>151</v>
      </c>
      <c r="J1" s="125"/>
      <c r="K1" s="125"/>
      <c r="L1" s="125"/>
      <c r="M1" s="125"/>
      <c r="N1" s="125"/>
      <c r="O1" s="125"/>
      <c r="P1" s="126"/>
    </row>
    <row r="2" spans="1:16" x14ac:dyDescent="0.3">
      <c r="A2" s="79" t="s">
        <v>80</v>
      </c>
      <c r="B2" s="79" t="s">
        <v>2</v>
      </c>
      <c r="C2" s="82"/>
      <c r="D2" s="82"/>
      <c r="E2" s="82"/>
      <c r="F2" s="82"/>
      <c r="G2" s="79"/>
    </row>
    <row r="3" spans="1:16" x14ac:dyDescent="0.3">
      <c r="A3" s="83" t="s">
        <v>3</v>
      </c>
      <c r="B3" s="79" t="s">
        <v>34</v>
      </c>
      <c r="C3" s="79" t="s">
        <v>18</v>
      </c>
      <c r="D3" s="79" t="s">
        <v>24</v>
      </c>
      <c r="E3" s="79" t="s">
        <v>20</v>
      </c>
      <c r="F3" s="79" t="s">
        <v>11</v>
      </c>
      <c r="G3" s="79" t="s">
        <v>120</v>
      </c>
    </row>
    <row r="4" spans="1:16" x14ac:dyDescent="0.3">
      <c r="A4" s="25" t="s">
        <v>12</v>
      </c>
      <c r="B4" s="47">
        <v>11297.150000000001</v>
      </c>
      <c r="C4" s="47">
        <v>11389.090000000002</v>
      </c>
      <c r="D4" s="47">
        <v>8037.0100000000011</v>
      </c>
      <c r="E4" s="47">
        <v>9588.0400000000009</v>
      </c>
      <c r="F4" s="47">
        <v>6691.17</v>
      </c>
      <c r="G4" s="48">
        <v>47002.460000000006</v>
      </c>
    </row>
    <row r="5" spans="1:16" x14ac:dyDescent="0.3">
      <c r="A5" s="25" t="s">
        <v>15</v>
      </c>
      <c r="B5" s="47">
        <v>12200.26</v>
      </c>
      <c r="C5" s="47">
        <v>2401.4499999999998</v>
      </c>
      <c r="D5" s="47">
        <v>8422.82</v>
      </c>
      <c r="E5" s="47">
        <v>8393.630000000001</v>
      </c>
      <c r="F5" s="47">
        <v>10509.429999999998</v>
      </c>
      <c r="G5" s="48">
        <v>41927.589999999997</v>
      </c>
    </row>
    <row r="6" spans="1:16" x14ac:dyDescent="0.3">
      <c r="A6" s="25" t="s">
        <v>21</v>
      </c>
      <c r="B6" s="47">
        <v>6621.24</v>
      </c>
      <c r="C6" s="47">
        <v>2869.54</v>
      </c>
      <c r="D6" s="47">
        <v>8191.7099999999991</v>
      </c>
      <c r="E6" s="47">
        <v>11989.070000000003</v>
      </c>
      <c r="F6" s="47">
        <v>11372.44</v>
      </c>
      <c r="G6" s="48">
        <v>41044</v>
      </c>
    </row>
    <row r="7" spans="1:16" x14ac:dyDescent="0.3">
      <c r="A7" s="25" t="s">
        <v>27</v>
      </c>
      <c r="B7" s="47">
        <v>4876.96</v>
      </c>
      <c r="C7" s="47">
        <v>7592.3399999999992</v>
      </c>
      <c r="D7" s="47">
        <v>6978.08</v>
      </c>
      <c r="E7" s="47">
        <v>7982.73</v>
      </c>
      <c r="F7" s="47">
        <v>9182.7800000000007</v>
      </c>
      <c r="G7" s="48">
        <v>36612.89</v>
      </c>
    </row>
    <row r="8" spans="1:16" x14ac:dyDescent="0.3">
      <c r="A8" s="25" t="s">
        <v>39</v>
      </c>
      <c r="B8" s="47">
        <v>8472.7199999999993</v>
      </c>
      <c r="C8" s="47">
        <v>8189.2200000000012</v>
      </c>
      <c r="D8" s="47">
        <v>3345.8</v>
      </c>
      <c r="E8" s="47">
        <v>2295.3199999999997</v>
      </c>
      <c r="F8" s="47">
        <v>6327.76</v>
      </c>
      <c r="G8" s="48">
        <v>28630.82</v>
      </c>
    </row>
    <row r="9" spans="1:16" x14ac:dyDescent="0.3">
      <c r="A9" s="79" t="s">
        <v>120</v>
      </c>
      <c r="B9" s="80">
        <v>43468.33</v>
      </c>
      <c r="C9" s="80">
        <v>32441.640000000003</v>
      </c>
      <c r="D9" s="80">
        <v>34975.420000000006</v>
      </c>
      <c r="E9" s="80">
        <v>40248.79</v>
      </c>
      <c r="F9" s="80">
        <v>44083.58</v>
      </c>
      <c r="G9" s="81">
        <v>195217.76</v>
      </c>
    </row>
    <row r="12" spans="1:16" x14ac:dyDescent="0.3">
      <c r="A12" s="96" t="s">
        <v>119</v>
      </c>
      <c r="B12" s="96" t="s">
        <v>139</v>
      </c>
    </row>
    <row r="13" spans="1:16" x14ac:dyDescent="0.3">
      <c r="A13" s="97" t="s">
        <v>34</v>
      </c>
      <c r="B13" s="98">
        <v>410</v>
      </c>
    </row>
    <row r="14" spans="1:16" x14ac:dyDescent="0.3">
      <c r="A14" s="97" t="s">
        <v>18</v>
      </c>
      <c r="B14" s="98">
        <v>374</v>
      </c>
    </row>
    <row r="15" spans="1:16" x14ac:dyDescent="0.3">
      <c r="A15" s="97" t="s">
        <v>24</v>
      </c>
      <c r="B15" s="98">
        <v>383</v>
      </c>
    </row>
    <row r="16" spans="1:16" x14ac:dyDescent="0.3">
      <c r="A16" s="97" t="s">
        <v>20</v>
      </c>
      <c r="B16" s="98">
        <v>374</v>
      </c>
    </row>
    <row r="17" spans="1:2" x14ac:dyDescent="0.3">
      <c r="A17" s="97" t="s">
        <v>11</v>
      </c>
      <c r="B17" s="98">
        <v>458</v>
      </c>
    </row>
    <row r="18" spans="1:2" x14ac:dyDescent="0.3">
      <c r="A18" s="99" t="s">
        <v>120</v>
      </c>
      <c r="B18" s="100">
        <v>1999</v>
      </c>
    </row>
  </sheetData>
  <mergeCells count="2">
    <mergeCell ref="A1:G1"/>
    <mergeCell ref="I1:P1"/>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Top 10</vt:lpstr>
      <vt:lpstr>What-If</vt:lpstr>
      <vt:lpstr>Regression &amp; Statistics</vt:lpstr>
      <vt:lpstr>Monthy Sales</vt:lpstr>
      <vt:lpstr>Total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Tirth D</dc:creator>
  <cp:lastModifiedBy>Tirth D</cp:lastModifiedBy>
  <dcterms:created xsi:type="dcterms:W3CDTF">2026-09-07T12:38:04Z</dcterms:created>
  <dcterms:modified xsi:type="dcterms:W3CDTF">2026-09-15T08:48:50Z</dcterms:modified>
</cp:coreProperties>
</file>